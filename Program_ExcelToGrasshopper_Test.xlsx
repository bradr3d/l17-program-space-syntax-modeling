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cf-my.sharepoint.com/personal/jo562116_ucf_edu/Documents/UCF/00_Tenure-Track/Year 3/26Su/Research/HKS Collaborative/UCFSummer2026Collaboration_Package/ExcelToProgramModel/"/>
    </mc:Choice>
  </mc:AlternateContent>
  <xr:revisionPtr revIDLastSave="0" documentId="8_{9B33B719-195C-4E11-8102-61D6FD702B38}" xr6:coauthVersionLast="47" xr6:coauthVersionMax="47" xr10:uidLastSave="{00000000-0000-0000-0000-000000000000}"/>
  <bookViews>
    <workbookView xWindow="-120" yWindow="-120" windowWidth="29040" windowHeight="15720" firstSheet="2" activeTab="2" xr2:uid="{6D646FED-011C-49F8-99DF-11E350B1BDE1}"/>
  </bookViews>
  <sheets>
    <sheet name="ProjectSheet" sheetId="1" r:id="rId1"/>
    <sheet name="ProgramInfo" sheetId="2" r:id="rId2"/>
    <sheet name="ProjectInfo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" i="3" l="1"/>
  <c r="A23" i="2" a="1"/>
  <c r="A18" i="2" a="1"/>
  <c r="A2" i="2" a="1"/>
  <c r="A77" i="2" a="1"/>
  <c r="A71" i="2" a="1"/>
  <c r="A47" i="2" a="1"/>
  <c r="A42" i="2" a="1"/>
  <c r="A38" i="2" a="1"/>
  <c r="A32" i="2" a="1"/>
  <c r="L40" i="2" a="1"/>
  <c r="L70" i="2" a="1"/>
  <c r="L43" i="2" a="1"/>
  <c r="L21" i="2" a="1"/>
  <c r="L2" i="2" a="1"/>
  <c r="L5" i="2" a="1"/>
  <c r="L48" i="2" a="1"/>
  <c r="L15" i="2" a="1"/>
  <c r="L34" i="2" a="1"/>
  <c r="L18" i="2" a="1"/>
  <c r="L14" i="2" a="1"/>
  <c r="L17" i="2" a="1"/>
  <c r="L19" i="2" a="1"/>
  <c r="L49" i="2" a="1"/>
  <c r="L59" i="2" a="1"/>
  <c r="L7" i="2" a="1"/>
  <c r="L27" i="2" a="1"/>
  <c r="L38" i="2" a="1"/>
  <c r="L37" i="2" a="1"/>
  <c r="L23" i="2" a="1"/>
  <c r="L13" i="2" a="1"/>
  <c r="L8" i="2" a="1"/>
  <c r="L61" i="2" a="1"/>
  <c r="L12" i="2" a="1"/>
  <c r="L47" i="2" a="1"/>
  <c r="L78" i="2" a="1"/>
  <c r="L52" i="2" a="1"/>
  <c r="L73" i="2" a="1"/>
  <c r="L62" i="2" a="1"/>
  <c r="L69" i="2" a="1"/>
  <c r="L81" i="2" a="1"/>
  <c r="L6" i="2" a="1"/>
  <c r="L58" i="2" a="1"/>
  <c r="L36" i="2" a="1"/>
  <c r="L42" i="2" a="1"/>
  <c r="L79" i="2" a="1"/>
  <c r="L45" i="2" a="1"/>
  <c r="L26" i="2" a="1"/>
  <c r="L3" i="2" a="1"/>
  <c r="L65" i="2" a="1"/>
  <c r="L63" i="2" a="1"/>
  <c r="L77" i="2" a="1"/>
  <c r="L28" i="2" a="1"/>
  <c r="L71" i="2" a="1"/>
  <c r="L11" i="2" a="1"/>
  <c r="L60" i="2" a="1"/>
  <c r="L50" i="2" a="1"/>
  <c r="L10" i="2" a="1"/>
  <c r="L75" i="2" a="1"/>
  <c r="L25" i="2" a="1"/>
  <c r="L44" i="2" a="1"/>
  <c r="L9" i="2" a="1"/>
  <c r="L32" i="2" a="1"/>
  <c r="L74" i="2" a="1"/>
  <c r="L33" i="2" a="1"/>
  <c r="L46" i="2" a="1"/>
  <c r="L22" i="2" a="1"/>
  <c r="L30" i="2" a="1"/>
  <c r="L64" i="2" a="1"/>
  <c r="L76" i="2" a="1"/>
  <c r="L39" i="2" a="1"/>
  <c r="L20" i="2" a="1"/>
  <c r="L68" i="2" a="1"/>
  <c r="L67" i="2" a="1"/>
  <c r="L72" i="2" a="1"/>
  <c r="L54" i="2" a="1"/>
  <c r="L41" i="2" a="1"/>
  <c r="L35" i="2" a="1"/>
  <c r="L80" i="2" a="1"/>
  <c r="L51" i="2" a="1"/>
  <c r="L24" i="2" a="1"/>
  <c r="L31" i="2" a="1"/>
  <c r="L82" i="2" a="1"/>
  <c r="L16" i="2" a="1"/>
  <c r="L29" i="2" a="1"/>
  <c r="L66" i="2" a="1"/>
  <c r="L55" i="2" a="1"/>
  <c r="L53" i="2" a="1"/>
  <c r="L4" i="2" a="1"/>
  <c r="L57" i="2" a="1"/>
  <c r="L56" i="2" a="1"/>
  <c r="L82" i="2" l="1"/>
  <c r="L76" i="2"/>
  <c r="L70" i="2"/>
  <c r="L46" i="2"/>
  <c r="L41" i="2"/>
  <c r="L37" i="2"/>
  <c r="L31" i="2"/>
  <c r="L22" i="2"/>
  <c r="L17" i="2"/>
  <c r="A23" i="2"/>
  <c r="A18" i="2"/>
  <c r="A2" i="2"/>
  <c r="L42" i="2"/>
  <c r="L50" i="2"/>
  <c r="L56" i="2"/>
  <c r="L74" i="2"/>
  <c r="L44" i="2"/>
  <c r="L45" i="2"/>
  <c r="L54" i="2"/>
  <c r="L69" i="2"/>
  <c r="L57" i="2"/>
  <c r="L58" i="2"/>
  <c r="L59" i="2"/>
  <c r="L60" i="2"/>
  <c r="L61" i="2"/>
  <c r="L68" i="2"/>
  <c r="L79" i="2"/>
  <c r="L71" i="2"/>
  <c r="L72" i="2"/>
  <c r="L73" i="2"/>
  <c r="L81" i="2"/>
  <c r="L55" i="2"/>
  <c r="L65" i="2"/>
  <c r="L66" i="2"/>
  <c r="L77" i="2"/>
  <c r="L78" i="2"/>
  <c r="L32" i="2"/>
  <c r="L63" i="2"/>
  <c r="L67" i="2"/>
  <c r="L34" i="2"/>
  <c r="L38" i="2"/>
  <c r="L48" i="2"/>
  <c r="L49" i="2"/>
  <c r="L51" i="2"/>
  <c r="L62" i="2"/>
  <c r="L80" i="2"/>
  <c r="L33" i="2"/>
  <c r="L39" i="2"/>
  <c r="L40" i="2"/>
  <c r="L43" i="2"/>
  <c r="L47" i="2"/>
  <c r="L52" i="2"/>
  <c r="L53" i="2"/>
  <c r="L64" i="2"/>
  <c r="L75" i="2"/>
  <c r="L35" i="2"/>
  <c r="L36" i="2"/>
  <c r="L3" i="2"/>
  <c r="L5" i="2"/>
  <c r="L6" i="2"/>
  <c r="L7" i="2"/>
  <c r="L8" i="2"/>
  <c r="L9" i="2"/>
  <c r="L11" i="2"/>
  <c r="L25" i="2"/>
  <c r="L12" i="2"/>
  <c r="L13" i="2"/>
  <c r="L14" i="2"/>
  <c r="L15" i="2"/>
  <c r="L16" i="2"/>
  <c r="L18" i="2"/>
  <c r="L19" i="2"/>
  <c r="L20" i="2"/>
  <c r="L21" i="2"/>
  <c r="L24" i="2"/>
  <c r="L26" i="2"/>
  <c r="L27" i="2"/>
  <c r="L30" i="2"/>
  <c r="L4" i="2"/>
  <c r="L28" i="2"/>
  <c r="L29" i="2"/>
  <c r="L10" i="2"/>
  <c r="L23" i="2"/>
  <c r="L2" i="2"/>
  <c r="A77" i="2"/>
  <c r="A71" i="2"/>
  <c r="A47" i="2"/>
  <c r="A42" i="2"/>
  <c r="A38" i="2"/>
  <c r="A3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<sst xmlns="http://schemas.openxmlformats.org/spreadsheetml/2006/main" count="284" uniqueCount="187">
  <si>
    <t>Project</t>
  </si>
  <si>
    <t>Lower School Concept Design</t>
  </si>
  <si>
    <r>
      <t>PROGRAMMING DOCUMENT</t>
    </r>
    <r>
      <rPr>
        <sz val="16"/>
        <color rgb="FF000000"/>
        <rFont val="HKS Sans Semilight"/>
        <family val="3"/>
      </rPr>
      <t xml:space="preserve">  </t>
    </r>
  </si>
  <si>
    <t>Client</t>
  </si>
  <si>
    <t>Shorecrest Prep</t>
  </si>
  <si>
    <t>Revisions to the previous program highlighted in grey.</t>
  </si>
  <si>
    <t>Date</t>
  </si>
  <si>
    <t>Revision</t>
  </si>
  <si>
    <t>Proj No</t>
  </si>
  <si>
    <t>Dept No</t>
  </si>
  <si>
    <t>Program Element</t>
  </si>
  <si>
    <t>Room Qty/ Units</t>
  </si>
  <si>
    <t>Net SF/ Units</t>
  </si>
  <si>
    <t xml:space="preserve">Total Program SF </t>
  </si>
  <si>
    <t>Design Capacity / Student Stations</t>
  </si>
  <si>
    <t xml:space="preserve">Total Stations </t>
  </si>
  <si>
    <t>Notes/Comments</t>
  </si>
  <si>
    <t>School Questions</t>
  </si>
  <si>
    <t>Core Curricula - Classrooms</t>
  </si>
  <si>
    <t>(20) existing classrooms (excluding specials)</t>
  </si>
  <si>
    <t>consider cubbies.</t>
  </si>
  <si>
    <t>Classroom - K</t>
  </si>
  <si>
    <t>Relocated from Manning, smaller size (existing ~800sf); first floor</t>
  </si>
  <si>
    <t xml:space="preserve">configuration more like ES? </t>
  </si>
  <si>
    <t>1.1.1</t>
  </si>
  <si>
    <t>Restroom</t>
  </si>
  <si>
    <t>(1) per classroom</t>
  </si>
  <si>
    <t>1.1.2</t>
  </si>
  <si>
    <t>Vestibule</t>
  </si>
  <si>
    <t>connecting classrooms/RRs</t>
  </si>
  <si>
    <t>Classroom - 1</t>
  </si>
  <si>
    <t>Relocated from Manning, smaller size (existing ~850sf); first floor</t>
  </si>
  <si>
    <t>1.2.1</t>
  </si>
  <si>
    <t>1.2.2</t>
  </si>
  <si>
    <t>Classroom - 2</t>
  </si>
  <si>
    <t>Relocated from Manning, similar size</t>
  </si>
  <si>
    <t>1.3.1</t>
  </si>
  <si>
    <t>1.3.2</t>
  </si>
  <si>
    <t>Classroom - 3</t>
  </si>
  <si>
    <t>1.4.1</t>
  </si>
  <si>
    <t>1.4.2</t>
  </si>
  <si>
    <t>Classroom - 4</t>
  </si>
  <si>
    <t>1.5.1</t>
  </si>
  <si>
    <t>1.5.2</t>
  </si>
  <si>
    <t>Total Dept Area</t>
  </si>
  <si>
    <t>Total Student Stations</t>
  </si>
  <si>
    <t>Core Curricula - Labs</t>
  </si>
  <si>
    <t>LS roundtable suggested a science lab? Could this be accommodated in the commons?</t>
  </si>
  <si>
    <t>Art</t>
  </si>
  <si>
    <t>Relocated from Raymund, similar size</t>
  </si>
  <si>
    <t>more about a project space for exploration</t>
  </si>
  <si>
    <t>2.1.1</t>
  </si>
  <si>
    <t>Storage</t>
  </si>
  <si>
    <t>2.1.2</t>
  </si>
  <si>
    <t>Student Restroom</t>
  </si>
  <si>
    <t>2.1.3</t>
  </si>
  <si>
    <t>Kiln</t>
  </si>
  <si>
    <t>(1) kiln for LS</t>
  </si>
  <si>
    <t>Core- Curricula - Specials</t>
  </si>
  <si>
    <t>what specials do ES utilize? Would like to keep on first floor</t>
  </si>
  <si>
    <t>Spanish/Language</t>
  </si>
  <si>
    <t>Relocated from Raymund/Manning, existing 500 SF is too small</t>
  </si>
  <si>
    <t>Block Room</t>
  </si>
  <si>
    <t>co-located in common area</t>
  </si>
  <si>
    <t>shared amongst specials, if adjacency allows</t>
  </si>
  <si>
    <t>Life Skills</t>
  </si>
  <si>
    <t>kitchen, co-located with common area; want to be able to cook with children</t>
  </si>
  <si>
    <t>STEAM</t>
  </si>
  <si>
    <t>Spark Lab; (4)th Alpha location match that SF</t>
  </si>
  <si>
    <t>3.5.1</t>
  </si>
  <si>
    <t>Makerspace</t>
  </si>
  <si>
    <t>3.6.1</t>
  </si>
  <si>
    <t>Noncore Curricula Instructional Support</t>
  </si>
  <si>
    <t>Common Area</t>
  </si>
  <si>
    <t>(1) per grade level; possibly interconnected to create central atrium; Pull out wet spaces?</t>
  </si>
  <si>
    <t>Grade Level Storage</t>
  </si>
  <si>
    <t>(1) per grade level</t>
  </si>
  <si>
    <t>Teacher Planning/Workroom</t>
  </si>
  <si>
    <t>(1) per grade level; like existing Jack&amp;Jill connection</t>
  </si>
  <si>
    <t>Community Collab</t>
  </si>
  <si>
    <t>Multipurpose Room</t>
  </si>
  <si>
    <t>possible operable partition to split into two classrooms if needed; may increase in size to consider the LS classroom module</t>
  </si>
  <si>
    <t>Music</t>
  </si>
  <si>
    <t>5.1.1</t>
  </si>
  <si>
    <t>5.1.2</t>
  </si>
  <si>
    <t xml:space="preserve">Athletics </t>
  </si>
  <si>
    <t>Mini-Gym</t>
  </si>
  <si>
    <t>previous mini-gym was small, ceiling was low; would like to fit a grade level</t>
  </si>
  <si>
    <t>6.1.1</t>
  </si>
  <si>
    <t>6.1.2</t>
  </si>
  <si>
    <t>Office</t>
  </si>
  <si>
    <t>large space for all (4), or (2) for (2)</t>
  </si>
  <si>
    <t>6.1.3</t>
  </si>
  <si>
    <t>Storage - Aux Programs</t>
  </si>
  <si>
    <t>mostly function in LS/ES classrooms or mini-gym</t>
  </si>
  <si>
    <t>Administration/Student Services</t>
  </si>
  <si>
    <t>General Admin Reception</t>
  </si>
  <si>
    <t>5% cap</t>
  </si>
  <si>
    <t>7.1.1</t>
  </si>
  <si>
    <t>Administrative Storage</t>
  </si>
  <si>
    <t>LS Head</t>
  </si>
  <si>
    <t>(8) max for a meeting</t>
  </si>
  <si>
    <t>LS administration</t>
  </si>
  <si>
    <t>Conference Room</t>
  </si>
  <si>
    <t>slightly larger than existing</t>
  </si>
  <si>
    <t>LS Counselor</t>
  </si>
  <si>
    <t>Manning space is ~500sf</t>
  </si>
  <si>
    <t>7.5.1</t>
  </si>
  <si>
    <t>Resource</t>
  </si>
  <si>
    <t>go as an entire class, she will go get students one-on-one; more central location for teachers to reduce travel time</t>
  </si>
  <si>
    <t>Curriculum room</t>
  </si>
  <si>
    <t>Staff Restroom</t>
  </si>
  <si>
    <t>Workroom/Break</t>
  </si>
  <si>
    <t>7.8.1</t>
  </si>
  <si>
    <t>Wellness Room</t>
  </si>
  <si>
    <t>Clinic</t>
  </si>
  <si>
    <t>Relocated from CC; existing 420sf; move to Lower School, keep centrally located; have both interior and exterior access</t>
  </si>
  <si>
    <t>7.9.1</t>
  </si>
  <si>
    <t>include shower</t>
  </si>
  <si>
    <t>7.9.2</t>
  </si>
  <si>
    <t>Security Office</t>
  </si>
  <si>
    <t>exterior access; works closely with the clinic; centrally located for fastest response time to any area of campus</t>
  </si>
  <si>
    <t>CAE Workroom/Shared Resource</t>
  </si>
  <si>
    <t>CAE; can be the same as 7.10</t>
  </si>
  <si>
    <t>7.10.1</t>
  </si>
  <si>
    <t>CAE; Learning Specialists</t>
  </si>
  <si>
    <t>Homework Lab</t>
  </si>
  <si>
    <t>Can this be the CAE workroom/shared resource space?</t>
  </si>
  <si>
    <t>7.11.1</t>
  </si>
  <si>
    <t xml:space="preserve">Tutoring </t>
  </si>
  <si>
    <t>CAE; located adjacent to 7.11; Jennifer verified count</t>
  </si>
  <si>
    <t>Speech</t>
  </si>
  <si>
    <r>
      <t xml:space="preserve">CAE; ES uses this next most. </t>
    </r>
    <r>
      <rPr>
        <sz val="9.5"/>
        <color rgb="FFFF0000"/>
        <rFont val="HKS Sans Semilight"/>
        <family val="3"/>
      </rPr>
      <t>would like additional offices in ES</t>
    </r>
  </si>
  <si>
    <t>plan for ES to have space within current LS library</t>
  </si>
  <si>
    <t>OT</t>
  </si>
  <si>
    <r>
      <t xml:space="preserve">CAE; ES uses this the most; ideally (2) separate spaces for LS and ES, but could be smaller. </t>
    </r>
    <r>
      <rPr>
        <sz val="9.5"/>
        <color rgb="FFFF0000"/>
        <rFont val="HKS Sans Semilight"/>
        <family val="3"/>
      </rPr>
      <t>would like additional space in ES</t>
    </r>
  </si>
  <si>
    <t>7.13.1</t>
  </si>
  <si>
    <t>CAE</t>
  </si>
  <si>
    <t>7.13.2</t>
  </si>
  <si>
    <t>Reading Specialist</t>
  </si>
  <si>
    <t>need a kidney table for 5-6 students and desk/storage</t>
  </si>
  <si>
    <t>Dining/Student Services</t>
  </si>
  <si>
    <t>NOT IN PROGRAM</t>
  </si>
  <si>
    <t>Media</t>
  </si>
  <si>
    <t>Open Stack</t>
  </si>
  <si>
    <t>Relocated from CC; space for 20,000 book collection; existing used as library ~1200sf</t>
  </si>
  <si>
    <t>9.1.1</t>
  </si>
  <si>
    <t>needs to be separate from processing due to volunteers</t>
  </si>
  <si>
    <t>9.1.2</t>
  </si>
  <si>
    <t>Tech Processing</t>
  </si>
  <si>
    <t>match Raymund's relationship of circulation desk/tech processing/office</t>
  </si>
  <si>
    <t>9.1.3</t>
  </si>
  <si>
    <t>9.1.4</t>
  </si>
  <si>
    <t>Custodial/Building Support</t>
  </si>
  <si>
    <t>Custodial Closet</t>
  </si>
  <si>
    <t xml:space="preserve">located max 150'; qty to be verified </t>
  </si>
  <si>
    <t>(2) individual per floor</t>
  </si>
  <si>
    <t>outdoor adjacent to playground</t>
  </si>
  <si>
    <t>Custodial Hub</t>
  </si>
  <si>
    <t>1st floor location</t>
  </si>
  <si>
    <t>Building Maintenance Storage</t>
  </si>
  <si>
    <t>(1) per floor</t>
  </si>
  <si>
    <t>Grand Net Area</t>
  </si>
  <si>
    <t>approx. 30,000sf at 2nd FL CC if everything removed</t>
  </si>
  <si>
    <t>new building could be small enough for Raymund to remain if we connect to Charger with a bridge</t>
  </si>
  <si>
    <t>Net Sq Ft</t>
  </si>
  <si>
    <t>could change Raymund back into LS Library/Specials Hub</t>
  </si>
  <si>
    <t>HVAC/Elect 6%</t>
  </si>
  <si>
    <t>Circ/Walls 27%</t>
  </si>
  <si>
    <t>Utilization Factor = .90, Student Capacity</t>
  </si>
  <si>
    <t>Total</t>
  </si>
  <si>
    <t>Gross Sq Ft</t>
  </si>
  <si>
    <t>Cost/SF</t>
  </si>
  <si>
    <t>Total Projected Cost</t>
  </si>
  <si>
    <t>Conn. Primary</t>
  </si>
  <si>
    <t>Flr</t>
  </si>
  <si>
    <t>Color</t>
  </si>
  <si>
    <t>Color RGB</t>
  </si>
  <si>
    <t>Shared Access</t>
  </si>
  <si>
    <t>Room Width Min.</t>
  </si>
  <si>
    <t>Aspect Ratio</t>
  </si>
  <si>
    <t>1 to 1</t>
  </si>
  <si>
    <t>x</t>
  </si>
  <si>
    <t>None</t>
  </si>
  <si>
    <t>Project Name</t>
  </si>
  <si>
    <t>Project Address</t>
  </si>
  <si>
    <t>General Project Boundary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</si>
</sst>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7">
    <font>
      <sz val="11"/>
      <color theme="1"/>
      <name val="Aptos Narrow"/>
      <family val="2"/>
      <scheme val="minor"/>
    </font>
    <font>
      <sz val="9.5"/>
      <color rgb="FF000000"/>
      <name val="HKS Sans Semilight"/>
      <family val="3"/>
    </font>
    <font>
      <sz val="9.5"/>
      <name val="HKS Sans Semilight"/>
      <family val="3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sz val="9.5"/>
      <color rgb="FF000000"/>
      <name val="HKS Sans Medium"/>
      <family val="2"/>
    </font>
    <font>
      <b/>
      <sz val="9.5"/>
      <color rgb="FF000000"/>
      <name val="HKS Sans Semilight"/>
      <family val="3"/>
    </font>
    <font>
      <sz val="9.5"/>
      <color rgb="FF000000"/>
      <name val="Calibri"/>
      <family val="2"/>
    </font>
    <font>
      <sz val="16"/>
      <color rgb="FF000000"/>
      <name val="HKS Sans Medium"/>
      <family val="2"/>
    </font>
    <font>
      <sz val="16"/>
      <color rgb="FF000000"/>
      <name val="HKS Sans Semilight"/>
      <family val="3"/>
    </font>
    <font>
      <b/>
      <sz val="11"/>
      <color rgb="FF000000"/>
      <name val="Calibri"/>
      <family val="2"/>
    </font>
    <font>
      <sz val="9.5"/>
      <color rgb="FFFF0000"/>
      <name val="HKS Sans Semilight"/>
      <family val="3"/>
    </font>
    <font>
      <sz val="10"/>
      <color rgb="FF000000"/>
      <name val="HKS Sans Semilight"/>
      <family val="3"/>
    </font>
    <font>
      <b/>
      <sz val="10"/>
      <color rgb="FF000000"/>
      <name val="HKS Sans Semilight"/>
      <family val="3"/>
    </font>
    <font>
      <sz val="11"/>
      <color rgb="FF000000"/>
      <name val="HKS Sans Semilight"/>
      <family val="3"/>
    </font>
    <font>
      <b/>
      <sz val="14"/>
      <color rgb="FF000000"/>
      <name val="HKS Sans Semilight"/>
      <family val="3"/>
    </font>
    <font>
      <sz val="1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A8AE4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BCE8C"/>
        <bgColor rgb="FF000000"/>
      </patternFill>
    </fill>
    <fill>
      <patternFill patternType="solid">
        <fgColor rgb="FF6F734F"/>
        <bgColor rgb="FF000000"/>
      </patternFill>
    </fill>
    <fill>
      <patternFill patternType="solid">
        <fgColor rgb="FF9FA47C"/>
        <bgColor rgb="FF000000"/>
      </patternFill>
    </fill>
    <fill>
      <patternFill patternType="solid">
        <fgColor rgb="FF85A175"/>
        <bgColor rgb="FF000000"/>
      </patternFill>
    </fill>
    <fill>
      <patternFill patternType="solid">
        <fgColor rgb="FFB6C7AD"/>
        <bgColor rgb="FF000000"/>
      </patternFill>
    </fill>
    <fill>
      <patternFill patternType="solid">
        <fgColor rgb="FFA7B9BD"/>
        <bgColor rgb="FF000000"/>
      </patternFill>
    </fill>
    <fill>
      <patternFill patternType="solid">
        <fgColor rgb="FFC8D3D6"/>
        <bgColor rgb="FF000000"/>
      </patternFill>
    </fill>
    <fill>
      <patternFill patternType="solid">
        <fgColor rgb="FF87BFAE"/>
        <bgColor rgb="FF000000"/>
      </patternFill>
    </fill>
    <fill>
      <patternFill patternType="solid">
        <fgColor rgb="FFB8DACF"/>
        <bgColor rgb="FF000000"/>
      </patternFill>
    </fill>
    <fill>
      <patternFill patternType="solid">
        <fgColor rgb="FFEBBE84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4DDBE"/>
        <bgColor rgb="FF000000"/>
      </patternFill>
    </fill>
    <fill>
      <patternFill patternType="solid">
        <fgColor rgb="FFB48994"/>
        <bgColor rgb="FF000000"/>
      </patternFill>
    </fill>
    <fill>
      <patternFill patternType="solid">
        <fgColor rgb="FFA8AE49"/>
        <bgColor indexed="64"/>
      </patternFill>
    </fill>
    <fill>
      <patternFill patternType="solid">
        <fgColor rgb="FF6F734F"/>
        <bgColor indexed="64"/>
      </patternFill>
    </fill>
    <fill>
      <patternFill patternType="solid">
        <fgColor rgb="FF85A175"/>
        <bgColor indexed="64"/>
      </patternFill>
    </fill>
    <fill>
      <patternFill patternType="solid">
        <fgColor rgb="FFA7B9BD"/>
        <bgColor indexed="64"/>
      </patternFill>
    </fill>
    <fill>
      <patternFill patternType="solid">
        <fgColor rgb="FF87BFAE"/>
        <bgColor indexed="64"/>
      </patternFill>
    </fill>
    <fill>
      <patternFill patternType="solid">
        <fgColor rgb="FFEBBE84"/>
        <bgColor indexed="64"/>
      </patternFill>
    </fill>
    <fill>
      <patternFill patternType="solid">
        <fgColor rgb="FFB48994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D5BDC3"/>
        <bgColor rgb="FF000000"/>
      </patternFill>
    </fill>
    <fill>
      <patternFill patternType="solid">
        <fgColor rgb="FF7A677A"/>
        <bgColor rgb="FF000000"/>
      </patternFill>
    </fill>
    <fill>
      <patternFill patternType="solid">
        <fgColor rgb="FFBCB0BC"/>
        <bgColor rgb="FF000000"/>
      </patternFill>
    </fill>
    <fill>
      <patternFill patternType="solid">
        <fgColor rgb="FFC45943"/>
        <bgColor rgb="FF000000"/>
      </patternFill>
    </fill>
    <fill>
      <patternFill patternType="solid">
        <fgColor rgb="FFE0A79C"/>
        <bgColor rgb="FF000000"/>
      </patternFill>
    </fill>
    <fill>
      <patternFill patternType="solid">
        <fgColor rgb="FF00647A"/>
        <bgColor rgb="FF000000"/>
      </patternFill>
    </fill>
    <fill>
      <patternFill patternType="solid">
        <fgColor rgb="FFABEFFF"/>
        <bgColor rgb="FF000000"/>
      </patternFill>
    </fill>
    <fill>
      <patternFill patternType="solid">
        <fgColor rgb="FFC45943"/>
        <bgColor indexed="64"/>
      </patternFill>
    </fill>
    <fill>
      <patternFill patternType="solid">
        <fgColor rgb="FF156082"/>
        <bgColor rgb="FF000000"/>
      </patternFill>
    </fill>
    <fill>
      <patternFill patternType="solid">
        <fgColor rgb="FF15608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0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right"/>
    </xf>
    <xf numFmtId="0" fontId="3" fillId="0" borderId="0" xfId="0" applyFont="1"/>
    <xf numFmtId="0" fontId="0" fillId="0" borderId="0" xfId="0" applyAlignment="1">
      <alignment wrapText="1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2" borderId="5" xfId="0" applyFont="1" applyFill="1" applyBorder="1" applyAlignment="1">
      <alignment horizontal="left"/>
    </xf>
    <xf numFmtId="0" fontId="5" fillId="2" borderId="6" xfId="0" applyFont="1" applyFill="1" applyBorder="1"/>
    <xf numFmtId="0" fontId="1" fillId="2" borderId="6" xfId="0" applyFont="1" applyFill="1" applyBorder="1"/>
    <xf numFmtId="0" fontId="6" fillId="2" borderId="7" xfId="0" applyFont="1" applyFill="1" applyBorder="1"/>
    <xf numFmtId="0" fontId="1" fillId="0" borderId="8" xfId="0" applyFont="1" applyBorder="1" applyAlignment="1">
      <alignment horizontal="left"/>
    </xf>
    <xf numFmtId="0" fontId="1" fillId="0" borderId="8" xfId="0" applyFont="1" applyBorder="1"/>
    <xf numFmtId="0" fontId="1" fillId="3" borderId="8" xfId="0" applyFont="1" applyFill="1" applyBorder="1"/>
    <xf numFmtId="0" fontId="1" fillId="0" borderId="8" xfId="0" applyFont="1" applyBorder="1" applyAlignment="1">
      <alignment vertical="center"/>
    </xf>
    <xf numFmtId="0" fontId="1" fillId="0" borderId="8" xfId="0" applyFont="1" applyBorder="1" applyAlignment="1">
      <alignment horizontal="right"/>
    </xf>
    <xf numFmtId="0" fontId="1" fillId="0" borderId="8" xfId="0" applyFont="1" applyBorder="1" applyAlignment="1">
      <alignment horizontal="left" indent="2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/>
    <xf numFmtId="0" fontId="5" fillId="2" borderId="10" xfId="0" applyFont="1" applyFill="1" applyBorder="1"/>
    <xf numFmtId="0" fontId="5" fillId="4" borderId="11" xfId="0" applyFont="1" applyFill="1" applyBorder="1"/>
    <xf numFmtId="0" fontId="5" fillId="5" borderId="5" xfId="0" applyFont="1" applyFill="1" applyBorder="1" applyAlignment="1">
      <alignment horizontal="left"/>
    </xf>
    <xf numFmtId="0" fontId="5" fillId="5" borderId="6" xfId="0" applyFont="1" applyFill="1" applyBorder="1" applyAlignment="1">
      <alignment horizontal="left"/>
    </xf>
    <xf numFmtId="0" fontId="1" fillId="0" borderId="8" xfId="0" applyFont="1" applyBorder="1" applyAlignment="1">
      <alignment vertical="top"/>
    </xf>
    <xf numFmtId="0" fontId="5" fillId="5" borderId="10" xfId="0" applyFont="1" applyFill="1" applyBorder="1"/>
    <xf numFmtId="0" fontId="5" fillId="5" borderId="12" xfId="0" applyFont="1" applyFill="1" applyBorder="1"/>
    <xf numFmtId="0" fontId="5" fillId="6" borderId="11" xfId="0" applyFont="1" applyFill="1" applyBorder="1"/>
    <xf numFmtId="0" fontId="7" fillId="0" borderId="0" xfId="0" applyFont="1"/>
    <xf numFmtId="0" fontId="5" fillId="7" borderId="5" xfId="0" applyFont="1" applyFill="1" applyBorder="1" applyAlignment="1">
      <alignment horizontal="left"/>
    </xf>
    <xf numFmtId="0" fontId="5" fillId="7" borderId="6" xfId="0" applyFont="1" applyFill="1" applyBorder="1" applyAlignment="1">
      <alignment horizontal="left"/>
    </xf>
    <xf numFmtId="0" fontId="1" fillId="7" borderId="6" xfId="0" applyFont="1" applyFill="1" applyBorder="1"/>
    <xf numFmtId="0" fontId="6" fillId="7" borderId="7" xfId="0" applyFont="1" applyFill="1" applyBorder="1"/>
    <xf numFmtId="0" fontId="2" fillId="0" borderId="8" xfId="0" applyFont="1" applyBorder="1" applyAlignment="1">
      <alignment vertical="center" wrapText="1"/>
    </xf>
    <xf numFmtId="0" fontId="5" fillId="8" borderId="11" xfId="0" applyFont="1" applyFill="1" applyBorder="1"/>
    <xf numFmtId="0" fontId="5" fillId="7" borderId="11" xfId="0" applyFont="1" applyFill="1" applyBorder="1"/>
    <xf numFmtId="0" fontId="5" fillId="9" borderId="5" xfId="0" applyFont="1" applyFill="1" applyBorder="1" applyAlignment="1">
      <alignment horizontal="left"/>
    </xf>
    <xf numFmtId="0" fontId="5" fillId="9" borderId="6" xfId="0" applyFont="1" applyFill="1" applyBorder="1" applyAlignment="1">
      <alignment horizontal="left"/>
    </xf>
    <xf numFmtId="0" fontId="1" fillId="9" borderId="6" xfId="0" applyFont="1" applyFill="1" applyBorder="1"/>
    <xf numFmtId="0" fontId="6" fillId="9" borderId="7" xfId="0" applyFont="1" applyFill="1" applyBorder="1"/>
    <xf numFmtId="0" fontId="1" fillId="0" borderId="8" xfId="0" applyFont="1" applyBorder="1" applyAlignment="1">
      <alignment wrapText="1"/>
    </xf>
    <xf numFmtId="0" fontId="1" fillId="0" borderId="8" xfId="0" applyFont="1" applyBorder="1" applyAlignment="1">
      <alignment horizontal="left" vertical="top"/>
    </xf>
    <xf numFmtId="0" fontId="1" fillId="3" borderId="8" xfId="0" applyFont="1" applyFill="1" applyBorder="1" applyAlignment="1">
      <alignment horizontal="left"/>
    </xf>
    <xf numFmtId="0" fontId="1" fillId="3" borderId="8" xfId="0" applyFont="1" applyFill="1" applyBorder="1" applyAlignment="1">
      <alignment vertical="top" wrapText="1"/>
    </xf>
    <xf numFmtId="0" fontId="1" fillId="3" borderId="8" xfId="0" applyFont="1" applyFill="1" applyBorder="1" applyAlignment="1">
      <alignment wrapText="1"/>
    </xf>
    <xf numFmtId="0" fontId="1" fillId="0" borderId="14" xfId="0" applyFont="1" applyBorder="1"/>
    <xf numFmtId="0" fontId="5" fillId="10" borderId="11" xfId="0" applyFont="1" applyFill="1" applyBorder="1"/>
    <xf numFmtId="0" fontId="5" fillId="9" borderId="11" xfId="0" applyFont="1" applyFill="1" applyBorder="1"/>
    <xf numFmtId="0" fontId="5" fillId="11" borderId="5" xfId="0" applyFont="1" applyFill="1" applyBorder="1" applyAlignment="1">
      <alignment horizontal="left"/>
    </xf>
    <xf numFmtId="0" fontId="5" fillId="11" borderId="6" xfId="0" applyFont="1" applyFill="1" applyBorder="1" applyAlignment="1">
      <alignment horizontal="left"/>
    </xf>
    <xf numFmtId="0" fontId="1" fillId="11" borderId="6" xfId="0" applyFont="1" applyFill="1" applyBorder="1"/>
    <xf numFmtId="0" fontId="6" fillId="11" borderId="7" xfId="0" applyFont="1" applyFill="1" applyBorder="1"/>
    <xf numFmtId="0" fontId="1" fillId="0" borderId="8" xfId="0" applyFont="1" applyBorder="1" applyAlignment="1">
      <alignment vertical="top" wrapText="1"/>
    </xf>
    <xf numFmtId="0" fontId="5" fillId="12" borderId="11" xfId="0" applyFont="1" applyFill="1" applyBorder="1"/>
    <xf numFmtId="0" fontId="5" fillId="11" borderId="11" xfId="0" applyFont="1" applyFill="1" applyBorder="1"/>
    <xf numFmtId="0" fontId="5" fillId="13" borderId="5" xfId="0" applyFont="1" applyFill="1" applyBorder="1" applyAlignment="1">
      <alignment horizontal="left"/>
    </xf>
    <xf numFmtId="0" fontId="5" fillId="13" borderId="6" xfId="0" applyFont="1" applyFill="1" applyBorder="1" applyAlignment="1">
      <alignment horizontal="left"/>
    </xf>
    <xf numFmtId="0" fontId="1" fillId="13" borderId="6" xfId="0" applyFont="1" applyFill="1" applyBorder="1"/>
    <xf numFmtId="0" fontId="6" fillId="13" borderId="7" xfId="0" applyFont="1" applyFill="1" applyBorder="1"/>
    <xf numFmtId="0" fontId="1" fillId="14" borderId="8" xfId="0" applyFont="1" applyFill="1" applyBorder="1"/>
    <xf numFmtId="0" fontId="1" fillId="14" borderId="8" xfId="0" applyFont="1" applyFill="1" applyBorder="1" applyAlignment="1">
      <alignment vertical="top" wrapText="1"/>
    </xf>
    <xf numFmtId="0" fontId="1" fillId="14" borderId="8" xfId="0" applyFont="1" applyFill="1" applyBorder="1" applyAlignment="1">
      <alignment horizontal="right"/>
    </xf>
    <xf numFmtId="0" fontId="1" fillId="14" borderId="8" xfId="0" applyFont="1" applyFill="1" applyBorder="1" applyAlignment="1">
      <alignment horizontal="left" vertical="top"/>
    </xf>
    <xf numFmtId="0" fontId="1" fillId="14" borderId="8" xfId="0" applyFont="1" applyFill="1" applyBorder="1" applyAlignment="1">
      <alignment vertical="top"/>
    </xf>
    <xf numFmtId="0" fontId="5" fillId="15" borderId="11" xfId="0" applyFont="1" applyFill="1" applyBorder="1"/>
    <xf numFmtId="0" fontId="5" fillId="13" borderId="11" xfId="0" applyFont="1" applyFill="1" applyBorder="1"/>
    <xf numFmtId="0" fontId="5" fillId="16" borderId="5" xfId="0" applyFont="1" applyFill="1" applyBorder="1" applyAlignment="1">
      <alignment horizontal="left"/>
    </xf>
    <xf numFmtId="0" fontId="5" fillId="16" borderId="6" xfId="0" applyFont="1" applyFill="1" applyBorder="1" applyAlignment="1">
      <alignment horizontal="left"/>
    </xf>
    <xf numFmtId="0" fontId="1" fillId="16" borderId="6" xfId="0" applyFont="1" applyFill="1" applyBorder="1"/>
    <xf numFmtId="0" fontId="5" fillId="16" borderId="7" xfId="0" applyFont="1" applyFill="1" applyBorder="1"/>
    <xf numFmtId="0" fontId="1" fillId="0" borderId="8" xfId="0" applyFont="1" applyBorder="1" applyAlignment="1">
      <alignment horizontal="right" vertical="top"/>
    </xf>
    <xf numFmtId="0" fontId="1" fillId="0" borderId="8" xfId="0" applyFont="1" applyBorder="1" applyAlignment="1">
      <alignment horizontal="left" vertical="top" indent="2"/>
    </xf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0" fillId="22" borderId="0" xfId="0" applyFill="1"/>
    <xf numFmtId="0" fontId="0" fillId="23" borderId="0" xfId="0" applyFill="1"/>
    <xf numFmtId="0" fontId="5" fillId="0" borderId="8" xfId="0" applyFont="1" applyBorder="1"/>
    <xf numFmtId="0" fontId="1" fillId="0" borderId="16" xfId="0" applyFont="1" applyBorder="1"/>
    <xf numFmtId="15" fontId="1" fillId="0" borderId="16" xfId="0" applyNumberFormat="1" applyFont="1" applyBorder="1" applyAlignment="1">
      <alignment horizontal="left"/>
    </xf>
    <xf numFmtId="0" fontId="1" fillId="0" borderId="10" xfId="0" applyFont="1" applyBorder="1"/>
    <xf numFmtId="0" fontId="3" fillId="24" borderId="0" xfId="0" applyFont="1" applyFill="1" applyAlignment="1">
      <alignment horizontal="center" vertical="center"/>
    </xf>
    <xf numFmtId="0" fontId="10" fillId="0" borderId="0" xfId="0" applyFont="1"/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left" indent="7"/>
    </xf>
    <xf numFmtId="0" fontId="10" fillId="0" borderId="0" xfId="0" applyFont="1" applyAlignment="1">
      <alignment horizontal="left" indent="7"/>
    </xf>
    <xf numFmtId="0" fontId="3" fillId="0" borderId="0" xfId="0" applyFont="1" applyAlignment="1">
      <alignment horizontal="left" indent="3"/>
    </xf>
    <xf numFmtId="0" fontId="5" fillId="0" borderId="0" xfId="0" applyFont="1"/>
    <xf numFmtId="0" fontId="1" fillId="14" borderId="8" xfId="0" applyFont="1" applyFill="1" applyBorder="1" applyAlignment="1">
      <alignment wrapText="1"/>
    </xf>
    <xf numFmtId="0" fontId="1" fillId="14" borderId="8" xfId="0" applyFont="1" applyFill="1" applyBorder="1" applyAlignment="1">
      <alignment horizontal="left" indent="2"/>
    </xf>
    <xf numFmtId="0" fontId="1" fillId="0" borderId="19" xfId="0" applyFont="1" applyBorder="1"/>
    <xf numFmtId="0" fontId="1" fillId="0" borderId="19" xfId="0" applyFont="1" applyBorder="1" applyAlignment="1">
      <alignment vertical="top"/>
    </xf>
    <xf numFmtId="0" fontId="1" fillId="14" borderId="19" xfId="0" applyFont="1" applyFill="1" applyBorder="1" applyAlignment="1">
      <alignment wrapText="1"/>
    </xf>
    <xf numFmtId="0" fontId="2" fillId="14" borderId="8" xfId="0" applyFont="1" applyFill="1" applyBorder="1"/>
    <xf numFmtId="0" fontId="5" fillId="16" borderId="13" xfId="0" applyFont="1" applyFill="1" applyBorder="1"/>
    <xf numFmtId="0" fontId="5" fillId="25" borderId="11" xfId="0" applyFont="1" applyFill="1" applyBorder="1"/>
    <xf numFmtId="0" fontId="5" fillId="26" borderId="5" xfId="0" applyFont="1" applyFill="1" applyBorder="1" applyAlignment="1">
      <alignment horizontal="left"/>
    </xf>
    <xf numFmtId="0" fontId="5" fillId="26" borderId="6" xfId="0" applyFont="1" applyFill="1" applyBorder="1" applyAlignment="1">
      <alignment horizontal="left"/>
    </xf>
    <xf numFmtId="0" fontId="1" fillId="26" borderId="6" xfId="0" applyFont="1" applyFill="1" applyBorder="1"/>
    <xf numFmtId="0" fontId="6" fillId="26" borderId="7" xfId="0" applyFont="1" applyFill="1" applyBorder="1"/>
    <xf numFmtId="0" fontId="5" fillId="27" borderId="1" xfId="0" applyFont="1" applyFill="1" applyBorder="1"/>
    <xf numFmtId="0" fontId="1" fillId="0" borderId="20" xfId="0" applyFont="1" applyBorder="1" applyAlignment="1">
      <alignment horizontal="left"/>
    </xf>
    <xf numFmtId="0" fontId="3" fillId="0" borderId="10" xfId="0" applyFont="1" applyBorder="1"/>
    <xf numFmtId="0" fontId="1" fillId="0" borderId="10" xfId="0" applyFont="1" applyBorder="1" applyAlignment="1">
      <alignment vertical="top"/>
    </xf>
    <xf numFmtId="0" fontId="1" fillId="0" borderId="10" xfId="0" applyFont="1" applyBorder="1" applyAlignment="1">
      <alignment horizontal="right"/>
    </xf>
    <xf numFmtId="0" fontId="1" fillId="0" borderId="10" xfId="0" applyFont="1" applyBorder="1" applyAlignment="1">
      <alignment vertical="top" wrapText="1"/>
    </xf>
    <xf numFmtId="0" fontId="5" fillId="28" borderId="5" xfId="0" applyFont="1" applyFill="1" applyBorder="1" applyAlignment="1">
      <alignment horizontal="left"/>
    </xf>
    <xf numFmtId="0" fontId="5" fillId="28" borderId="6" xfId="0" applyFont="1" applyFill="1" applyBorder="1" applyAlignment="1">
      <alignment horizontal="left"/>
    </xf>
    <xf numFmtId="0" fontId="1" fillId="28" borderId="6" xfId="0" applyFont="1" applyFill="1" applyBorder="1"/>
    <xf numFmtId="0" fontId="5" fillId="28" borderId="7" xfId="0" applyFont="1" applyFill="1" applyBorder="1"/>
    <xf numFmtId="0" fontId="2" fillId="0" borderId="8" xfId="0" applyFont="1" applyBorder="1" applyAlignment="1">
      <alignment vertical="top" wrapText="1"/>
    </xf>
    <xf numFmtId="0" fontId="3" fillId="0" borderId="8" xfId="0" applyFont="1" applyBorder="1"/>
    <xf numFmtId="0" fontId="5" fillId="29" borderId="11" xfId="0" applyFont="1" applyFill="1" applyBorder="1"/>
    <xf numFmtId="0" fontId="5" fillId="28" borderId="11" xfId="0" applyFont="1" applyFill="1" applyBorder="1"/>
    <xf numFmtId="0" fontId="5" fillId="30" borderId="6" xfId="0" applyFont="1" applyFill="1" applyBorder="1" applyAlignment="1">
      <alignment horizontal="left"/>
    </xf>
    <xf numFmtId="0" fontId="1" fillId="30" borderId="6" xfId="0" applyFont="1" applyFill="1" applyBorder="1"/>
    <xf numFmtId="0" fontId="1" fillId="30" borderId="7" xfId="0" applyFont="1" applyFill="1" applyBorder="1"/>
    <xf numFmtId="0" fontId="1" fillId="14" borderId="8" xfId="0" applyFont="1" applyFill="1" applyBorder="1" applyAlignment="1">
      <alignment horizontal="left"/>
    </xf>
    <xf numFmtId="0" fontId="3" fillId="14" borderId="8" xfId="0" applyFont="1" applyFill="1" applyBorder="1"/>
    <xf numFmtId="0" fontId="5" fillId="31" borderId="11" xfId="0" applyFont="1" applyFill="1" applyBorder="1"/>
    <xf numFmtId="0" fontId="5" fillId="30" borderId="11" xfId="0" applyFont="1" applyFill="1" applyBorder="1"/>
    <xf numFmtId="0" fontId="13" fillId="14" borderId="23" xfId="0" applyFont="1" applyFill="1" applyBorder="1"/>
    <xf numFmtId="0" fontId="12" fillId="0" borderId="23" xfId="0" applyFont="1" applyBorder="1"/>
    <xf numFmtId="0" fontId="12" fillId="0" borderId="22" xfId="0" applyFont="1" applyBorder="1" applyAlignment="1">
      <alignment horizontal="right"/>
    </xf>
    <xf numFmtId="0" fontId="1" fillId="0" borderId="0" xfId="0" applyFont="1" applyAlignment="1">
      <alignment horizontal="left" vertical="top"/>
    </xf>
    <xf numFmtId="0" fontId="12" fillId="14" borderId="25" xfId="0" applyFont="1" applyFill="1" applyBorder="1" applyAlignment="1">
      <alignment horizontal="right"/>
    </xf>
    <xf numFmtId="0" fontId="13" fillId="14" borderId="27" xfId="0" applyFont="1" applyFill="1" applyBorder="1"/>
    <xf numFmtId="0" fontId="14" fillId="0" borderId="22" xfId="0" applyFont="1" applyBorder="1"/>
    <xf numFmtId="0" fontId="13" fillId="14" borderId="28" xfId="0" applyFont="1" applyFill="1" applyBorder="1" applyAlignment="1">
      <alignment horizontal="right" vertical="center"/>
    </xf>
    <xf numFmtId="0" fontId="12" fillId="0" borderId="25" xfId="0" applyFont="1" applyBorder="1" applyAlignment="1">
      <alignment horizontal="right" vertical="center" wrapText="1"/>
    </xf>
    <xf numFmtId="8" fontId="13" fillId="14" borderId="27" xfId="0" applyNumberFormat="1" applyFont="1" applyFill="1" applyBorder="1"/>
    <xf numFmtId="0" fontId="0" fillId="0" borderId="0" xfId="0" applyAlignment="1">
      <alignment horizontal="center" vertical="center" wrapText="1"/>
    </xf>
    <xf numFmtId="0" fontId="0" fillId="32" borderId="0" xfId="0" applyFill="1"/>
    <xf numFmtId="0" fontId="5" fillId="33" borderId="5" xfId="0" applyFont="1" applyFill="1" applyBorder="1" applyAlignment="1">
      <alignment horizontal="left"/>
    </xf>
    <xf numFmtId="0" fontId="0" fillId="34" borderId="0" xfId="0" applyFill="1"/>
    <xf numFmtId="2" fontId="1" fillId="0" borderId="8" xfId="0" applyNumberFormat="1" applyFont="1" applyBorder="1" applyAlignment="1">
      <alignment horizontal="left"/>
    </xf>
    <xf numFmtId="2" fontId="0" fillId="0" borderId="0" xfId="0" applyNumberFormat="1"/>
    <xf numFmtId="2" fontId="0" fillId="0" borderId="0" xfId="0" applyNumberFormat="1" applyAlignment="1">
      <alignment wrapText="1"/>
    </xf>
    <xf numFmtId="0" fontId="1" fillId="14" borderId="19" xfId="0" applyFont="1" applyFill="1" applyBorder="1"/>
    <xf numFmtId="0" fontId="3" fillId="0" borderId="15" xfId="0" applyFont="1" applyBorder="1"/>
    <xf numFmtId="0" fontId="16" fillId="0" borderId="0" xfId="0" applyFont="1"/>
    <xf numFmtId="20" fontId="0" fillId="0" borderId="0" xfId="0" applyNumberFormat="1"/>
    <xf numFmtId="0" fontId="0" fillId="0" borderId="0" xfId="0" applyAlignment="1">
      <alignment horizontal="center"/>
    </xf>
    <xf numFmtId="0" fontId="5" fillId="0" borderId="8" xfId="0" applyFont="1" applyBorder="1" applyAlignment="1">
      <alignment vertical="center" wrapText="1"/>
    </xf>
    <xf numFmtId="0" fontId="5" fillId="0" borderId="8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top"/>
    </xf>
    <xf numFmtId="0" fontId="1" fillId="0" borderId="18" xfId="0" applyFont="1" applyBorder="1" applyAlignment="1">
      <alignment horizontal="center" vertical="top"/>
    </xf>
    <xf numFmtId="0" fontId="1" fillId="0" borderId="30" xfId="0" applyFont="1" applyBorder="1" applyAlignment="1">
      <alignment horizontal="center" vertical="top"/>
    </xf>
    <xf numFmtId="0" fontId="8" fillId="0" borderId="14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29" xfId="0" applyFont="1" applyBorder="1" applyAlignment="1">
      <alignment vertical="top" wrapText="1"/>
    </xf>
    <xf numFmtId="0" fontId="12" fillId="0" borderId="24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12" fillId="0" borderId="23" xfId="0" applyFont="1" applyBorder="1" applyAlignment="1">
      <alignment vertical="center" wrapText="1"/>
    </xf>
    <xf numFmtId="0" fontId="12" fillId="0" borderId="24" xfId="0" applyFont="1" applyBorder="1" applyAlignment="1">
      <alignment vertical="center" wrapText="1"/>
    </xf>
    <xf numFmtId="0" fontId="12" fillId="0" borderId="25" xfId="0" applyFont="1" applyBorder="1" applyAlignment="1">
      <alignment vertical="center" wrapText="1"/>
    </xf>
    <xf numFmtId="0" fontId="12" fillId="0" borderId="26" xfId="0" applyFont="1" applyBorder="1" applyAlignment="1">
      <alignment horizontal="center" wrapText="1"/>
    </xf>
    <xf numFmtId="0" fontId="12" fillId="0" borderId="33" xfId="0" applyFont="1" applyBorder="1" applyAlignment="1">
      <alignment horizontal="center" wrapText="1"/>
    </xf>
    <xf numFmtId="0" fontId="12" fillId="0" borderId="23" xfId="0" applyFont="1" applyBorder="1" applyAlignment="1">
      <alignment horizontal="center" vertical="center" wrapText="1"/>
    </xf>
    <xf numFmtId="0" fontId="15" fillId="0" borderId="21" xfId="0" applyFont="1" applyBorder="1" applyAlignment="1">
      <alignment horizontal="center" vertical="center" wrapText="1"/>
    </xf>
    <xf numFmtId="0" fontId="15" fillId="0" borderId="31" xfId="0" applyFont="1" applyBorder="1" applyAlignment="1">
      <alignment horizontal="center" vertical="center" wrapText="1"/>
    </xf>
    <xf numFmtId="0" fontId="15" fillId="0" borderId="28" xfId="0" applyFont="1" applyBorder="1" applyAlignment="1">
      <alignment horizontal="center" vertical="center" wrapText="1"/>
    </xf>
    <xf numFmtId="0" fontId="15" fillId="0" borderId="32" xfId="0" applyFont="1" applyBorder="1" applyAlignment="1">
      <alignment horizontal="center" vertical="center" wrapText="1"/>
    </xf>
    <xf numFmtId="0" fontId="5" fillId="7" borderId="13" xfId="0" applyFont="1" applyFill="1" applyBorder="1" applyAlignment="1"/>
    <xf numFmtId="0" fontId="5" fillId="7" borderId="12" xfId="0" applyFont="1" applyFill="1" applyBorder="1" applyAlignment="1"/>
    <xf numFmtId="0" fontId="5" fillId="9" borderId="13" xfId="0" applyFont="1" applyFill="1" applyBorder="1" applyAlignment="1"/>
    <xf numFmtId="0" fontId="5" fillId="9" borderId="12" xfId="0" applyFont="1" applyFill="1" applyBorder="1" applyAlignment="1"/>
    <xf numFmtId="0" fontId="5" fillId="11" borderId="13" xfId="0" applyFont="1" applyFill="1" applyBorder="1" applyAlignment="1"/>
    <xf numFmtId="0" fontId="5" fillId="11" borderId="12" xfId="0" applyFont="1" applyFill="1" applyBorder="1" applyAlignment="1"/>
    <xf numFmtId="0" fontId="5" fillId="13" borderId="13" xfId="0" applyFont="1" applyFill="1" applyBorder="1" applyAlignment="1"/>
    <xf numFmtId="0" fontId="5" fillId="13" borderId="12" xfId="0" applyFont="1" applyFill="1" applyBorder="1" applyAlignment="1"/>
    <xf numFmtId="0" fontId="5" fillId="16" borderId="13" xfId="0" applyFont="1" applyFill="1" applyBorder="1" applyAlignment="1"/>
    <xf numFmtId="0" fontId="5" fillId="16" borderId="12" xfId="0" applyFont="1" applyFill="1" applyBorder="1" applyAlignment="1"/>
    <xf numFmtId="0" fontId="5" fillId="28" borderId="13" xfId="0" applyFont="1" applyFill="1" applyBorder="1" applyAlignment="1"/>
    <xf numFmtId="0" fontId="5" fillId="28" borderId="12" xfId="0" applyFont="1" applyFill="1" applyBorder="1" applyAlignment="1"/>
    <xf numFmtId="0" fontId="5" fillId="30" borderId="13" xfId="0" applyFont="1" applyFill="1" applyBorder="1" applyAlignment="1"/>
    <xf numFmtId="0" fontId="5" fillId="30" borderId="12" xfId="0" applyFont="1" applyFill="1" applyBorder="1" applyAlignment="1"/>
    <xf numFmtId="0" fontId="3" fillId="0" borderId="20" xfId="0" applyFont="1" applyBorder="1" applyAlignment="1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56082"/>
      <color rgb="FFC45943"/>
      <color rgb="FF7A677A"/>
      <color rgb="FFB48994"/>
      <color rgb="FFEBBE84"/>
      <color rgb="FF87BFAE"/>
      <color rgb="FFA7B9BD"/>
      <color rgb="FF85A175"/>
      <color rgb="FF6F734F"/>
      <color rgb="FFA8AE4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27A11-97D2-4031-AAC2-AE7B4A7954DA}">
  <sheetPr codeName="Sheet1"/>
  <dimension ref="A1:J140"/>
  <sheetViews>
    <sheetView workbookViewId="0">
      <selection activeCell="I65" sqref="I65"/>
    </sheetView>
  </sheetViews>
  <sheetFormatPr defaultRowHeight="15"/>
  <cols>
    <col min="1" max="1" width="7.85546875" bestFit="1" customWidth="1"/>
    <col min="2" max="2" width="33.140625" bestFit="1" customWidth="1"/>
    <col min="3" max="3" width="7.7109375" customWidth="1"/>
    <col min="4" max="4" width="7.85546875" customWidth="1"/>
    <col min="5" max="5" width="8.7109375" customWidth="1"/>
    <col min="6" max="6" width="15" customWidth="1"/>
    <col min="7" max="7" width="8.28515625" customWidth="1"/>
    <col min="8" max="8" width="39.7109375" customWidth="1"/>
    <col min="9" max="9" width="76.85546875" bestFit="1" customWidth="1"/>
    <col min="10" max="10" width="10.140625" customWidth="1"/>
  </cols>
  <sheetData>
    <row r="1" spans="1:10" ht="37.9" customHeight="1">
      <c r="A1" s="82" t="s">
        <v>0</v>
      </c>
      <c r="B1" s="83" t="s">
        <v>1</v>
      </c>
      <c r="C1" s="153" t="s">
        <v>2</v>
      </c>
      <c r="D1" s="153"/>
      <c r="E1" s="153"/>
      <c r="F1" s="153"/>
      <c r="G1" s="153"/>
      <c r="H1" s="150"/>
      <c r="I1" s="4"/>
      <c r="J1" s="136"/>
    </row>
    <row r="2" spans="1:10">
      <c r="A2" s="82" t="s">
        <v>3</v>
      </c>
      <c r="B2" s="83" t="s">
        <v>4</v>
      </c>
      <c r="C2" s="154" t="s">
        <v>5</v>
      </c>
      <c r="D2" s="154"/>
      <c r="E2" s="154"/>
      <c r="F2" s="154"/>
      <c r="G2" s="154"/>
      <c r="H2" s="151"/>
      <c r="I2" s="4"/>
    </row>
    <row r="3" spans="1:10">
      <c r="A3" s="82" t="s">
        <v>6</v>
      </c>
      <c r="B3" s="84">
        <v>46113</v>
      </c>
      <c r="C3" s="154"/>
      <c r="D3" s="154"/>
      <c r="E3" s="154"/>
      <c r="F3" s="154"/>
      <c r="G3" s="154"/>
      <c r="H3" s="151"/>
      <c r="I3" s="4"/>
    </row>
    <row r="4" spans="1:10">
      <c r="A4" s="82" t="s">
        <v>7</v>
      </c>
      <c r="B4" s="83">
        <v>2</v>
      </c>
      <c r="C4" s="154"/>
      <c r="D4" s="154"/>
      <c r="E4" s="154"/>
      <c r="F4" s="154"/>
      <c r="G4" s="154"/>
      <c r="H4" s="151"/>
      <c r="I4" s="4"/>
    </row>
    <row r="5" spans="1:10">
      <c r="A5" s="82" t="s">
        <v>8</v>
      </c>
      <c r="B5" s="83">
        <v>27520</v>
      </c>
      <c r="C5" s="155"/>
      <c r="D5" s="155"/>
      <c r="E5" s="155"/>
      <c r="F5" s="155"/>
      <c r="G5" s="155"/>
      <c r="H5" s="152"/>
      <c r="I5" s="4"/>
    </row>
    <row r="6" spans="1:10" ht="15.75" thickBot="1">
      <c r="A6" s="85"/>
      <c r="B6" s="85"/>
      <c r="C6" s="85"/>
      <c r="D6" s="85"/>
      <c r="E6" s="85"/>
      <c r="F6" s="85"/>
      <c r="G6" s="85"/>
      <c r="H6" s="85"/>
      <c r="I6" s="4"/>
    </row>
    <row r="7" spans="1:10" ht="39" thickBot="1">
      <c r="A7" s="6" t="s">
        <v>9</v>
      </c>
      <c r="B7" s="7" t="s">
        <v>10</v>
      </c>
      <c r="C7" s="8" t="s">
        <v>11</v>
      </c>
      <c r="D7" s="8" t="s">
        <v>12</v>
      </c>
      <c r="E7" s="9" t="s">
        <v>13</v>
      </c>
      <c r="F7" s="8" t="s">
        <v>14</v>
      </c>
      <c r="G7" s="8" t="s">
        <v>15</v>
      </c>
      <c r="H7" s="10" t="s">
        <v>16</v>
      </c>
      <c r="I7" s="86" t="s">
        <v>17</v>
      </c>
    </row>
    <row r="8" spans="1:10">
      <c r="A8" s="11">
        <v>1</v>
      </c>
      <c r="B8" s="12" t="s">
        <v>18</v>
      </c>
      <c r="C8" s="13"/>
      <c r="D8" s="13"/>
      <c r="E8" s="13"/>
      <c r="F8" s="13"/>
      <c r="G8" s="13"/>
      <c r="H8" s="14" t="s">
        <v>19</v>
      </c>
      <c r="I8" s="87" t="s">
        <v>20</v>
      </c>
    </row>
    <row r="9" spans="1:10">
      <c r="A9" s="15">
        <v>1.1000000000000001</v>
      </c>
      <c r="B9" s="16" t="s">
        <v>21</v>
      </c>
      <c r="C9" s="17">
        <v>4</v>
      </c>
      <c r="D9" s="16">
        <v>850</v>
      </c>
      <c r="E9" s="16">
        <v>3400</v>
      </c>
      <c r="F9" s="16">
        <v>16</v>
      </c>
      <c r="G9" s="16">
        <v>64</v>
      </c>
      <c r="H9" s="18" t="s">
        <v>22</v>
      </c>
      <c r="I9" s="4" t="s">
        <v>23</v>
      </c>
    </row>
    <row r="10" spans="1:10">
      <c r="A10" s="19" t="s">
        <v>24</v>
      </c>
      <c r="B10" s="20" t="s">
        <v>25</v>
      </c>
      <c r="C10" s="17">
        <v>4</v>
      </c>
      <c r="D10" s="16">
        <v>50</v>
      </c>
      <c r="E10" s="16">
        <v>200</v>
      </c>
      <c r="F10" s="16"/>
      <c r="G10" s="16"/>
      <c r="H10" s="18" t="s">
        <v>26</v>
      </c>
      <c r="I10" s="4"/>
    </row>
    <row r="11" spans="1:10">
      <c r="A11" s="19" t="s">
        <v>27</v>
      </c>
      <c r="B11" s="20" t="s">
        <v>28</v>
      </c>
      <c r="C11" s="17">
        <v>4</v>
      </c>
      <c r="D11" s="16">
        <v>50</v>
      </c>
      <c r="E11" s="16">
        <v>200</v>
      </c>
      <c r="F11" s="16"/>
      <c r="G11" s="16"/>
      <c r="H11" s="18" t="s">
        <v>29</v>
      </c>
      <c r="I11" s="4"/>
    </row>
    <row r="12" spans="1:10">
      <c r="A12" s="15">
        <v>1.2</v>
      </c>
      <c r="B12" s="16" t="s">
        <v>30</v>
      </c>
      <c r="C12" s="16">
        <v>4</v>
      </c>
      <c r="D12" s="16">
        <v>850</v>
      </c>
      <c r="E12" s="16">
        <v>3400</v>
      </c>
      <c r="F12" s="16">
        <v>16</v>
      </c>
      <c r="G12" s="16">
        <v>64</v>
      </c>
      <c r="H12" s="18" t="s">
        <v>31</v>
      </c>
      <c r="I12" s="88"/>
    </row>
    <row r="13" spans="1:10">
      <c r="A13" s="19" t="s">
        <v>32</v>
      </c>
      <c r="B13" s="20" t="s">
        <v>25</v>
      </c>
      <c r="C13" s="17">
        <v>4</v>
      </c>
      <c r="D13" s="16">
        <v>50</v>
      </c>
      <c r="E13" s="16">
        <v>200</v>
      </c>
      <c r="F13" s="16"/>
      <c r="G13" s="16"/>
      <c r="H13" s="18" t="s">
        <v>26</v>
      </c>
      <c r="I13" s="88"/>
    </row>
    <row r="14" spans="1:10">
      <c r="A14" s="19" t="s">
        <v>33</v>
      </c>
      <c r="B14" s="20" t="s">
        <v>28</v>
      </c>
      <c r="C14" s="17">
        <v>4</v>
      </c>
      <c r="D14" s="16">
        <v>50</v>
      </c>
      <c r="E14" s="16">
        <v>200</v>
      </c>
      <c r="F14" s="16"/>
      <c r="G14" s="16"/>
      <c r="H14" s="18" t="s">
        <v>29</v>
      </c>
      <c r="I14" s="88"/>
    </row>
    <row r="15" spans="1:10">
      <c r="A15" s="15">
        <v>1.3</v>
      </c>
      <c r="B15" s="16" t="s">
        <v>34</v>
      </c>
      <c r="C15" s="16">
        <v>4</v>
      </c>
      <c r="D15" s="16">
        <v>850</v>
      </c>
      <c r="E15" s="16">
        <v>3400</v>
      </c>
      <c r="F15" s="16">
        <v>16</v>
      </c>
      <c r="G15" s="16">
        <v>64</v>
      </c>
      <c r="H15" s="18" t="s">
        <v>35</v>
      </c>
      <c r="I15" s="89"/>
    </row>
    <row r="16" spans="1:10">
      <c r="A16" s="19" t="s">
        <v>36</v>
      </c>
      <c r="B16" s="20" t="s">
        <v>25</v>
      </c>
      <c r="C16" s="17">
        <v>4</v>
      </c>
      <c r="D16" s="16">
        <v>50</v>
      </c>
      <c r="E16" s="16">
        <v>200</v>
      </c>
      <c r="F16" s="16"/>
      <c r="G16" s="16"/>
      <c r="H16" s="18" t="s">
        <v>26</v>
      </c>
      <c r="I16" s="89"/>
    </row>
    <row r="17" spans="1:9">
      <c r="A17" s="19" t="s">
        <v>37</v>
      </c>
      <c r="B17" s="20" t="s">
        <v>28</v>
      </c>
      <c r="C17" s="17">
        <v>4</v>
      </c>
      <c r="D17" s="16">
        <v>50</v>
      </c>
      <c r="E17" s="16">
        <v>200</v>
      </c>
      <c r="F17" s="16"/>
      <c r="G17" s="16"/>
      <c r="H17" s="18" t="s">
        <v>29</v>
      </c>
      <c r="I17" s="89"/>
    </row>
    <row r="18" spans="1:9">
      <c r="A18" s="15">
        <v>1.4</v>
      </c>
      <c r="B18" s="16" t="s">
        <v>38</v>
      </c>
      <c r="C18" s="16">
        <v>4</v>
      </c>
      <c r="D18" s="16">
        <v>850</v>
      </c>
      <c r="E18" s="16">
        <v>3400</v>
      </c>
      <c r="F18" s="16">
        <v>16</v>
      </c>
      <c r="G18" s="16">
        <v>64</v>
      </c>
      <c r="H18" s="18" t="s">
        <v>35</v>
      </c>
      <c r="I18" s="90"/>
    </row>
    <row r="19" spans="1:9">
      <c r="A19" s="19" t="s">
        <v>39</v>
      </c>
      <c r="B19" s="20" t="s">
        <v>25</v>
      </c>
      <c r="C19" s="17">
        <v>4</v>
      </c>
      <c r="D19" s="16">
        <v>50</v>
      </c>
      <c r="E19" s="16">
        <v>200</v>
      </c>
      <c r="F19" s="16"/>
      <c r="G19" s="16"/>
      <c r="H19" s="18" t="s">
        <v>26</v>
      </c>
      <c r="I19" s="90"/>
    </row>
    <row r="20" spans="1:9">
      <c r="A20" s="19" t="s">
        <v>40</v>
      </c>
      <c r="B20" s="20" t="s">
        <v>28</v>
      </c>
      <c r="C20" s="17">
        <v>4</v>
      </c>
      <c r="D20" s="16">
        <v>50</v>
      </c>
      <c r="E20" s="16">
        <v>200</v>
      </c>
      <c r="F20" s="16"/>
      <c r="G20" s="16"/>
      <c r="H20" s="18" t="s">
        <v>29</v>
      </c>
      <c r="I20" s="90"/>
    </row>
    <row r="21" spans="1:9">
      <c r="A21" s="15">
        <v>1.5</v>
      </c>
      <c r="B21" s="16" t="s">
        <v>41</v>
      </c>
      <c r="C21" s="16">
        <v>4</v>
      </c>
      <c r="D21" s="16">
        <v>850</v>
      </c>
      <c r="E21" s="16">
        <v>3400</v>
      </c>
      <c r="F21" s="16">
        <v>16</v>
      </c>
      <c r="G21" s="16">
        <v>64</v>
      </c>
      <c r="H21" s="18" t="s">
        <v>35</v>
      </c>
      <c r="I21" s="4"/>
    </row>
    <row r="22" spans="1:9">
      <c r="A22" s="19" t="s">
        <v>42</v>
      </c>
      <c r="B22" s="20" t="s">
        <v>25</v>
      </c>
      <c r="C22" s="17">
        <v>4</v>
      </c>
      <c r="D22" s="16">
        <v>50</v>
      </c>
      <c r="E22" s="16">
        <v>200</v>
      </c>
      <c r="F22" s="16"/>
      <c r="G22" s="16"/>
      <c r="H22" s="18" t="s">
        <v>26</v>
      </c>
      <c r="I22" s="88"/>
    </row>
    <row r="23" spans="1:9">
      <c r="A23" s="19" t="s">
        <v>43</v>
      </c>
      <c r="B23" s="20" t="s">
        <v>28</v>
      </c>
      <c r="C23" s="17">
        <v>4</v>
      </c>
      <c r="D23" s="16">
        <v>50</v>
      </c>
      <c r="E23" s="16">
        <v>200</v>
      </c>
      <c r="F23" s="16"/>
      <c r="G23" s="16"/>
      <c r="H23" s="18" t="s">
        <v>29</v>
      </c>
      <c r="I23" s="88"/>
    </row>
    <row r="24" spans="1:9">
      <c r="A24" s="15"/>
      <c r="B24" s="15"/>
      <c r="C24" s="16"/>
      <c r="D24" s="16"/>
      <c r="E24" s="19"/>
      <c r="F24" s="16"/>
      <c r="G24" s="16"/>
      <c r="H24" s="21"/>
      <c r="I24" s="4"/>
    </row>
    <row r="25" spans="1:9">
      <c r="A25" s="2"/>
      <c r="B25" s="2"/>
      <c r="C25" s="2"/>
      <c r="D25" s="2"/>
      <c r="E25" s="2"/>
      <c r="F25" s="2"/>
      <c r="G25" s="2"/>
      <c r="H25" s="2"/>
      <c r="I25" s="91"/>
    </row>
    <row r="26" spans="1:9" ht="15.75" thickBot="1">
      <c r="A26" s="22"/>
      <c r="B26" s="22"/>
      <c r="C26" s="23" t="s">
        <v>44</v>
      </c>
      <c r="D26" s="23"/>
      <c r="E26" s="24">
        <v>19000</v>
      </c>
      <c r="F26" s="23" t="s">
        <v>45</v>
      </c>
      <c r="G26" s="24">
        <v>320</v>
      </c>
      <c r="H26" s="22"/>
      <c r="I26" s="4"/>
    </row>
    <row r="27" spans="1:9" ht="15.75" thickBot="1">
      <c r="A27" s="2"/>
      <c r="B27" s="2"/>
      <c r="C27" s="2"/>
      <c r="D27" s="2"/>
      <c r="E27" s="2"/>
      <c r="F27" s="2"/>
      <c r="G27" s="2"/>
      <c r="H27" s="2"/>
      <c r="I27" s="4"/>
    </row>
    <row r="28" spans="1:9">
      <c r="A28" s="25">
        <v>2</v>
      </c>
      <c r="B28" s="25" t="s">
        <v>46</v>
      </c>
      <c r="C28" s="26"/>
      <c r="D28" s="26"/>
      <c r="E28" s="26"/>
      <c r="F28" s="26"/>
      <c r="G28" s="26"/>
      <c r="H28" s="26"/>
      <c r="I28" s="4" t="s">
        <v>47</v>
      </c>
    </row>
    <row r="29" spans="1:9">
      <c r="A29" s="15">
        <v>2.1</v>
      </c>
      <c r="B29" s="15" t="s">
        <v>48</v>
      </c>
      <c r="C29" s="17">
        <v>1</v>
      </c>
      <c r="D29" s="16">
        <v>1000</v>
      </c>
      <c r="E29" s="16">
        <v>1000</v>
      </c>
      <c r="F29" s="27"/>
      <c r="G29" s="16"/>
      <c r="H29" s="18" t="s">
        <v>49</v>
      </c>
      <c r="I29" s="4" t="s">
        <v>50</v>
      </c>
    </row>
    <row r="30" spans="1:9">
      <c r="A30" s="19" t="s">
        <v>51</v>
      </c>
      <c r="B30" s="20" t="s">
        <v>52</v>
      </c>
      <c r="C30" s="17">
        <v>1</v>
      </c>
      <c r="D30" s="16">
        <v>250</v>
      </c>
      <c r="E30" s="16">
        <v>250</v>
      </c>
      <c r="F30" s="16"/>
      <c r="G30" s="16"/>
      <c r="H30" s="18"/>
      <c r="I30" s="4"/>
    </row>
    <row r="31" spans="1:9">
      <c r="A31" s="19" t="s">
        <v>53</v>
      </c>
      <c r="B31" s="20" t="s">
        <v>54</v>
      </c>
      <c r="C31" s="17">
        <v>1</v>
      </c>
      <c r="D31" s="16">
        <v>50</v>
      </c>
      <c r="E31" s="16">
        <v>50</v>
      </c>
      <c r="F31" s="16"/>
      <c r="G31" s="16"/>
      <c r="H31" s="18"/>
      <c r="I31" s="4"/>
    </row>
    <row r="32" spans="1:9">
      <c r="A32" s="19" t="s">
        <v>55</v>
      </c>
      <c r="B32" s="20" t="s">
        <v>56</v>
      </c>
      <c r="C32" s="16">
        <v>1</v>
      </c>
      <c r="D32" s="16">
        <v>125</v>
      </c>
      <c r="E32" s="16">
        <v>125</v>
      </c>
      <c r="F32" s="16"/>
      <c r="G32" s="16"/>
      <c r="H32" s="21" t="s">
        <v>57</v>
      </c>
      <c r="I32" s="4"/>
    </row>
    <row r="33" spans="1:9">
      <c r="A33" s="2"/>
      <c r="B33" s="2"/>
      <c r="C33" s="2"/>
      <c r="D33" s="2"/>
      <c r="E33" s="2"/>
      <c r="F33" s="2"/>
      <c r="G33" s="2"/>
      <c r="H33" s="2"/>
      <c r="I33" s="4"/>
    </row>
    <row r="34" spans="1:9" ht="15.75" thickBot="1">
      <c r="A34" s="22"/>
      <c r="B34" s="22"/>
      <c r="C34" s="28" t="s">
        <v>44</v>
      </c>
      <c r="D34" s="29"/>
      <c r="E34" s="30">
        <v>1425</v>
      </c>
      <c r="F34" s="28" t="s">
        <v>45</v>
      </c>
      <c r="G34" s="30">
        <v>0</v>
      </c>
      <c r="H34" s="22"/>
      <c r="I34" s="4"/>
    </row>
    <row r="35" spans="1:9" ht="15.75" thickBot="1">
      <c r="A35" s="31"/>
      <c r="B35" s="31"/>
      <c r="C35" s="31"/>
      <c r="D35" s="31"/>
      <c r="E35" s="31"/>
      <c r="F35" s="31"/>
      <c r="G35" s="31"/>
      <c r="H35" s="31"/>
      <c r="I35" s="4"/>
    </row>
    <row r="36" spans="1:9">
      <c r="A36" s="32">
        <v>3</v>
      </c>
      <c r="B36" s="33" t="s">
        <v>58</v>
      </c>
      <c r="C36" s="34"/>
      <c r="D36" s="34"/>
      <c r="E36" s="34"/>
      <c r="F36" s="34"/>
      <c r="G36" s="34"/>
      <c r="H36" s="35"/>
      <c r="I36" s="4" t="s">
        <v>59</v>
      </c>
    </row>
    <row r="37" spans="1:9">
      <c r="A37" s="15">
        <v>3.1</v>
      </c>
      <c r="B37" s="15" t="s">
        <v>60</v>
      </c>
      <c r="C37" s="16">
        <v>2</v>
      </c>
      <c r="D37" s="16">
        <v>650</v>
      </c>
      <c r="E37" s="16">
        <v>1300</v>
      </c>
      <c r="F37" s="16"/>
      <c r="G37" s="16"/>
      <c r="H37" s="18" t="s">
        <v>61</v>
      </c>
      <c r="I37" s="4"/>
    </row>
    <row r="38" spans="1:9">
      <c r="A38" s="15">
        <v>3.2</v>
      </c>
      <c r="B38" s="15" t="s">
        <v>62</v>
      </c>
      <c r="C38" s="16">
        <v>0</v>
      </c>
      <c r="D38" s="16">
        <v>500</v>
      </c>
      <c r="E38" s="16">
        <v>0</v>
      </c>
      <c r="F38" s="16"/>
      <c r="G38" s="16"/>
      <c r="H38" s="18" t="s">
        <v>63</v>
      </c>
      <c r="I38" s="4"/>
    </row>
    <row r="39" spans="1:9">
      <c r="A39" s="15">
        <v>3.3</v>
      </c>
      <c r="B39" s="15" t="s">
        <v>54</v>
      </c>
      <c r="C39" s="16">
        <v>2</v>
      </c>
      <c r="D39" s="16">
        <v>50</v>
      </c>
      <c r="E39" s="16">
        <v>100</v>
      </c>
      <c r="F39" s="16"/>
      <c r="G39" s="16"/>
      <c r="H39" s="18" t="s">
        <v>64</v>
      </c>
      <c r="I39" s="4"/>
    </row>
    <row r="40" spans="1:9" ht="40.5">
      <c r="A40" s="15">
        <v>3.4</v>
      </c>
      <c r="B40" s="15" t="s">
        <v>65</v>
      </c>
      <c r="C40" s="16">
        <v>0</v>
      </c>
      <c r="D40" s="16">
        <v>500</v>
      </c>
      <c r="E40" s="16">
        <v>0</v>
      </c>
      <c r="F40" s="16"/>
      <c r="G40" s="16"/>
      <c r="H40" s="36" t="s">
        <v>66</v>
      </c>
      <c r="I40" s="4"/>
    </row>
    <row r="41" spans="1:9" ht="27">
      <c r="A41" s="15">
        <v>3.5</v>
      </c>
      <c r="B41" s="15" t="s">
        <v>67</v>
      </c>
      <c r="C41" s="16">
        <v>1</v>
      </c>
      <c r="D41" s="16">
        <v>1100</v>
      </c>
      <c r="E41" s="16">
        <v>1100</v>
      </c>
      <c r="F41" s="16"/>
      <c r="G41" s="16"/>
      <c r="H41" s="36" t="s">
        <v>68</v>
      </c>
      <c r="I41" s="4"/>
    </row>
    <row r="42" spans="1:9">
      <c r="A42" s="19" t="s">
        <v>69</v>
      </c>
      <c r="B42" s="20" t="s">
        <v>52</v>
      </c>
      <c r="C42" s="16">
        <v>1</v>
      </c>
      <c r="D42" s="16">
        <v>150</v>
      </c>
      <c r="E42" s="16">
        <v>150</v>
      </c>
      <c r="F42" s="16"/>
      <c r="G42" s="16"/>
      <c r="H42" s="36"/>
      <c r="I42" s="4"/>
    </row>
    <row r="43" spans="1:9">
      <c r="A43" s="15">
        <v>3.6</v>
      </c>
      <c r="B43" s="15" t="s">
        <v>70</v>
      </c>
      <c r="C43" s="17">
        <v>1</v>
      </c>
      <c r="D43" s="16">
        <v>650</v>
      </c>
      <c r="E43" s="16">
        <v>650</v>
      </c>
      <c r="F43" s="16"/>
      <c r="G43" s="16"/>
      <c r="H43" s="36"/>
      <c r="I43" s="4"/>
    </row>
    <row r="44" spans="1:9">
      <c r="A44" s="19" t="s">
        <v>71</v>
      </c>
      <c r="B44" s="20" t="s">
        <v>52</v>
      </c>
      <c r="C44" s="17">
        <v>1</v>
      </c>
      <c r="D44" s="16">
        <v>150</v>
      </c>
      <c r="E44" s="16">
        <v>150</v>
      </c>
      <c r="F44" s="16"/>
      <c r="G44" s="16"/>
      <c r="H44" s="36"/>
      <c r="I44" s="4"/>
    </row>
    <row r="45" spans="1:9">
      <c r="A45" s="15"/>
      <c r="B45" s="15"/>
      <c r="C45" s="17"/>
      <c r="D45" s="16"/>
      <c r="E45" s="19"/>
      <c r="F45" s="16"/>
      <c r="G45" s="16"/>
      <c r="H45" s="36"/>
      <c r="I45" s="4"/>
    </row>
    <row r="46" spans="1:9">
      <c r="A46" s="2"/>
      <c r="B46" s="2"/>
      <c r="C46" s="2"/>
      <c r="D46" s="2"/>
      <c r="E46" s="2"/>
      <c r="F46" s="2"/>
      <c r="G46" s="2"/>
      <c r="H46" s="2"/>
      <c r="I46" s="4"/>
    </row>
    <row r="47" spans="1:9" ht="15.75" thickBot="1">
      <c r="A47" s="22"/>
      <c r="B47" s="22"/>
      <c r="C47" s="174" t="s">
        <v>44</v>
      </c>
      <c r="D47" s="175"/>
      <c r="E47" s="37">
        <v>3450</v>
      </c>
      <c r="F47" s="38" t="s">
        <v>45</v>
      </c>
      <c r="G47" s="37">
        <v>0</v>
      </c>
      <c r="H47" s="22"/>
      <c r="I47" s="4"/>
    </row>
    <row r="48" spans="1:9" ht="15.75" thickBot="1">
      <c r="A48" s="4"/>
      <c r="B48" s="4"/>
      <c r="C48" s="4"/>
      <c r="D48" s="4"/>
      <c r="E48" s="4"/>
      <c r="F48" s="4"/>
      <c r="G48" s="4"/>
      <c r="H48" s="4"/>
      <c r="I48" s="4"/>
    </row>
    <row r="49" spans="1:9">
      <c r="A49" s="39">
        <v>4</v>
      </c>
      <c r="B49" s="40" t="s">
        <v>72</v>
      </c>
      <c r="C49" s="41"/>
      <c r="D49" s="41"/>
      <c r="E49" s="41"/>
      <c r="F49" s="41"/>
      <c r="G49" s="41"/>
      <c r="H49" s="42"/>
      <c r="I49" s="4"/>
    </row>
    <row r="50" spans="1:9" ht="40.5">
      <c r="A50" s="15">
        <v>4.0999999999999996</v>
      </c>
      <c r="B50" s="15" t="s">
        <v>73</v>
      </c>
      <c r="C50" s="16">
        <v>5</v>
      </c>
      <c r="D50" s="16">
        <v>775</v>
      </c>
      <c r="E50" s="16">
        <v>3875</v>
      </c>
      <c r="F50" s="16"/>
      <c r="G50" s="16"/>
      <c r="H50" s="43" t="s">
        <v>74</v>
      </c>
      <c r="I50" s="4"/>
    </row>
    <row r="51" spans="1:9">
      <c r="A51" s="44">
        <v>4.2</v>
      </c>
      <c r="B51" s="44" t="s">
        <v>75</v>
      </c>
      <c r="C51" s="16">
        <v>5</v>
      </c>
      <c r="D51" s="16">
        <v>250</v>
      </c>
      <c r="E51" s="16">
        <v>1250</v>
      </c>
      <c r="F51" s="27"/>
      <c r="G51" s="27"/>
      <c r="H51" s="43" t="s">
        <v>76</v>
      </c>
      <c r="I51" s="4"/>
    </row>
    <row r="52" spans="1:9" ht="27">
      <c r="A52" s="15">
        <v>4.3</v>
      </c>
      <c r="B52" s="15" t="s">
        <v>77</v>
      </c>
      <c r="C52" s="16">
        <v>5</v>
      </c>
      <c r="D52" s="16">
        <v>300</v>
      </c>
      <c r="E52" s="16">
        <v>1500</v>
      </c>
      <c r="F52" s="16"/>
      <c r="G52" s="27"/>
      <c r="H52" s="43" t="s">
        <v>78</v>
      </c>
      <c r="I52" s="4"/>
    </row>
    <row r="53" spans="1:9">
      <c r="A53" s="45">
        <v>4.4000000000000004</v>
      </c>
      <c r="B53" s="15" t="s">
        <v>79</v>
      </c>
      <c r="C53" s="16">
        <v>0</v>
      </c>
      <c r="D53" s="16">
        <v>1500</v>
      </c>
      <c r="E53" s="16">
        <v>0</v>
      </c>
      <c r="F53" s="16"/>
      <c r="G53" s="27"/>
      <c r="H53" s="46"/>
      <c r="I53" s="4"/>
    </row>
    <row r="54" spans="1:9" ht="54">
      <c r="A54" s="15">
        <v>4.5</v>
      </c>
      <c r="B54" s="15" t="s">
        <v>80</v>
      </c>
      <c r="C54" s="17">
        <v>1</v>
      </c>
      <c r="D54" s="17">
        <v>1200</v>
      </c>
      <c r="E54" s="16">
        <v>1200</v>
      </c>
      <c r="F54" s="16"/>
      <c r="G54" s="27"/>
      <c r="H54" s="47" t="s">
        <v>81</v>
      </c>
      <c r="I54" s="4"/>
    </row>
    <row r="55" spans="1:9">
      <c r="A55" s="15"/>
      <c r="B55" s="15"/>
      <c r="C55" s="17"/>
      <c r="D55" s="16"/>
      <c r="E55" s="16"/>
      <c r="F55" s="16"/>
      <c r="G55" s="27"/>
      <c r="H55" s="47"/>
      <c r="I55" s="4"/>
    </row>
    <row r="56" spans="1:9">
      <c r="A56" s="15"/>
      <c r="B56" s="15"/>
      <c r="C56" s="17"/>
      <c r="D56" s="16"/>
      <c r="E56" s="16"/>
      <c r="F56" s="19"/>
      <c r="G56" s="27"/>
      <c r="H56" s="15"/>
      <c r="I56" s="4"/>
    </row>
    <row r="57" spans="1:9">
      <c r="A57" s="2"/>
      <c r="B57" s="2"/>
      <c r="C57" s="2"/>
      <c r="D57" s="2"/>
      <c r="E57" s="2"/>
      <c r="F57" s="48"/>
      <c r="G57" s="2"/>
      <c r="H57" s="2"/>
      <c r="I57" s="4"/>
    </row>
    <row r="58" spans="1:9" ht="15.75" thickBot="1">
      <c r="A58" s="22"/>
      <c r="B58" s="22"/>
      <c r="C58" s="176" t="s">
        <v>44</v>
      </c>
      <c r="D58" s="177"/>
      <c r="E58" s="49">
        <v>7825</v>
      </c>
      <c r="F58" s="50" t="s">
        <v>45</v>
      </c>
      <c r="G58" s="49">
        <v>0</v>
      </c>
      <c r="H58" s="22"/>
      <c r="I58" s="4"/>
    </row>
    <row r="59" spans="1:9" ht="15.75" thickBot="1">
      <c r="A59" s="4"/>
      <c r="B59" s="4"/>
      <c r="C59" s="4"/>
      <c r="D59" s="4"/>
      <c r="E59" s="4"/>
      <c r="F59" s="4"/>
      <c r="G59" s="4"/>
      <c r="H59" s="4"/>
      <c r="I59" s="4"/>
    </row>
    <row r="60" spans="1:9">
      <c r="A60" s="51">
        <v>5</v>
      </c>
      <c r="B60" s="52" t="s">
        <v>82</v>
      </c>
      <c r="C60" s="53"/>
      <c r="D60" s="53"/>
      <c r="E60" s="53"/>
      <c r="F60" s="53"/>
      <c r="G60" s="53"/>
      <c r="H60" s="54"/>
      <c r="I60" s="4"/>
    </row>
    <row r="61" spans="1:9">
      <c r="A61" s="15">
        <v>5.0999999999999996</v>
      </c>
      <c r="B61" s="15" t="s">
        <v>82</v>
      </c>
      <c r="C61" s="17">
        <v>1</v>
      </c>
      <c r="D61" s="16">
        <v>1000</v>
      </c>
      <c r="E61" s="19">
        <v>1000</v>
      </c>
      <c r="F61" s="19"/>
      <c r="G61" s="27"/>
      <c r="H61" s="18" t="s">
        <v>49</v>
      </c>
      <c r="I61" s="4"/>
    </row>
    <row r="62" spans="1:9">
      <c r="A62" s="19" t="s">
        <v>83</v>
      </c>
      <c r="B62" s="20" t="s">
        <v>52</v>
      </c>
      <c r="C62" s="17">
        <v>1</v>
      </c>
      <c r="D62" s="16">
        <v>300</v>
      </c>
      <c r="E62" s="19">
        <v>300</v>
      </c>
      <c r="F62" s="19"/>
      <c r="G62" s="27"/>
      <c r="H62" s="43"/>
      <c r="I62" s="4"/>
    </row>
    <row r="63" spans="1:9">
      <c r="A63" s="19" t="s">
        <v>84</v>
      </c>
      <c r="B63" s="20" t="s">
        <v>54</v>
      </c>
      <c r="C63" s="17">
        <v>1</v>
      </c>
      <c r="D63" s="16">
        <v>50</v>
      </c>
      <c r="E63" s="19">
        <v>50</v>
      </c>
      <c r="F63" s="19"/>
      <c r="G63" s="27"/>
      <c r="H63" s="43"/>
      <c r="I63" s="4"/>
    </row>
    <row r="64" spans="1:9">
      <c r="A64" s="19"/>
      <c r="B64" s="20"/>
      <c r="C64" s="17"/>
      <c r="D64" s="16"/>
      <c r="E64" s="19"/>
      <c r="F64" s="27"/>
      <c r="G64" s="16"/>
      <c r="H64" s="55"/>
      <c r="I64" s="4"/>
    </row>
    <row r="65" spans="1:9">
      <c r="A65" s="2"/>
      <c r="B65" s="2"/>
      <c r="C65" s="2"/>
      <c r="D65" s="2"/>
      <c r="E65" s="2"/>
      <c r="F65" s="48"/>
      <c r="G65" s="2"/>
      <c r="H65" s="2"/>
      <c r="I65" s="4"/>
    </row>
    <row r="66" spans="1:9" ht="15.75" thickBot="1">
      <c r="A66" s="22"/>
      <c r="B66" s="22"/>
      <c r="C66" s="178" t="s">
        <v>44</v>
      </c>
      <c r="D66" s="179"/>
      <c r="E66" s="56">
        <v>1350</v>
      </c>
      <c r="F66" s="57" t="s">
        <v>45</v>
      </c>
      <c r="G66" s="56">
        <v>0</v>
      </c>
      <c r="H66" s="22"/>
      <c r="I66" s="4"/>
    </row>
    <row r="67" spans="1:9" ht="15.75" thickBot="1">
      <c r="A67" s="4"/>
      <c r="B67" s="4"/>
      <c r="C67" s="4"/>
      <c r="D67" s="4"/>
      <c r="E67" s="4"/>
      <c r="F67" s="4"/>
      <c r="G67" s="4"/>
      <c r="H67" s="4"/>
      <c r="I67" s="4"/>
    </row>
    <row r="68" spans="1:9">
      <c r="A68" s="58">
        <v>6</v>
      </c>
      <c r="B68" s="59" t="s">
        <v>85</v>
      </c>
      <c r="C68" s="60"/>
      <c r="D68" s="60"/>
      <c r="E68" s="60"/>
      <c r="F68" s="60"/>
      <c r="G68" s="60"/>
      <c r="H68" s="61"/>
      <c r="I68" s="4"/>
    </row>
    <row r="69" spans="1:9" ht="40.5">
      <c r="A69" s="15">
        <v>6.1</v>
      </c>
      <c r="B69" s="44" t="s">
        <v>86</v>
      </c>
      <c r="C69" s="16">
        <v>1</v>
      </c>
      <c r="D69" s="62">
        <v>4000</v>
      </c>
      <c r="E69" s="19">
        <v>4000</v>
      </c>
      <c r="F69" s="27"/>
      <c r="G69" s="16"/>
      <c r="H69" s="63" t="s">
        <v>87</v>
      </c>
      <c r="I69" s="4"/>
    </row>
    <row r="70" spans="1:9">
      <c r="A70" s="19" t="s">
        <v>88</v>
      </c>
      <c r="B70" s="44" t="s">
        <v>52</v>
      </c>
      <c r="C70" s="16">
        <v>1</v>
      </c>
      <c r="D70" s="16">
        <v>400</v>
      </c>
      <c r="E70" s="19">
        <v>400</v>
      </c>
      <c r="F70" s="27"/>
      <c r="G70" s="16"/>
      <c r="H70" s="55"/>
      <c r="I70" s="4"/>
    </row>
    <row r="71" spans="1:9" ht="27">
      <c r="A71" s="19" t="s">
        <v>89</v>
      </c>
      <c r="B71" s="44" t="s">
        <v>90</v>
      </c>
      <c r="C71" s="16">
        <v>4</v>
      </c>
      <c r="D71" s="16">
        <v>125</v>
      </c>
      <c r="E71" s="19">
        <v>500</v>
      </c>
      <c r="F71" s="27"/>
      <c r="G71" s="16"/>
      <c r="H71" s="55" t="s">
        <v>91</v>
      </c>
      <c r="I71" s="4"/>
    </row>
    <row r="72" spans="1:9" ht="27">
      <c r="A72" s="64" t="s">
        <v>92</v>
      </c>
      <c r="B72" s="65" t="s">
        <v>93</v>
      </c>
      <c r="C72" s="62">
        <v>1</v>
      </c>
      <c r="D72" s="62">
        <v>400</v>
      </c>
      <c r="E72" s="64">
        <v>400</v>
      </c>
      <c r="F72" s="66"/>
      <c r="G72" s="62"/>
      <c r="H72" s="63" t="s">
        <v>94</v>
      </c>
      <c r="I72" s="4"/>
    </row>
    <row r="73" spans="1:9">
      <c r="A73" s="15"/>
      <c r="B73" s="15"/>
      <c r="C73" s="16"/>
      <c r="D73" s="16"/>
      <c r="E73" s="16"/>
      <c r="F73" s="16"/>
      <c r="G73" s="16"/>
      <c r="H73" s="16"/>
      <c r="I73" s="4"/>
    </row>
    <row r="74" spans="1:9">
      <c r="A74" s="2"/>
      <c r="B74" s="2"/>
      <c r="C74" s="2"/>
      <c r="D74" s="2"/>
      <c r="E74" s="2"/>
      <c r="F74" s="48"/>
      <c r="G74" s="2"/>
      <c r="H74" s="2"/>
      <c r="I74" s="4"/>
    </row>
    <row r="75" spans="1:9" ht="15.75" thickBot="1">
      <c r="A75" s="22"/>
      <c r="B75" s="22"/>
      <c r="C75" s="180" t="s">
        <v>44</v>
      </c>
      <c r="D75" s="181"/>
      <c r="E75" s="67">
        <v>5300</v>
      </c>
      <c r="F75" s="68" t="s">
        <v>45</v>
      </c>
      <c r="G75" s="67">
        <v>0</v>
      </c>
      <c r="H75" s="22"/>
      <c r="I75" s="4"/>
    </row>
    <row r="76" spans="1:9" ht="15.75" thickBot="1">
      <c r="A76" s="4"/>
      <c r="B76" s="4"/>
      <c r="C76" s="4"/>
      <c r="D76" s="4"/>
      <c r="E76" s="4"/>
      <c r="F76" s="4"/>
      <c r="G76" s="4"/>
      <c r="H76" s="4"/>
      <c r="I76" s="4"/>
    </row>
    <row r="77" spans="1:9">
      <c r="A77" s="69">
        <v>7</v>
      </c>
      <c r="B77" s="70" t="s">
        <v>95</v>
      </c>
      <c r="C77" s="71"/>
      <c r="D77" s="71"/>
      <c r="E77" s="71"/>
      <c r="F77" s="71"/>
      <c r="G77" s="71"/>
      <c r="H77" s="72"/>
      <c r="I77" s="4"/>
    </row>
    <row r="78" spans="1:9">
      <c r="A78" s="44">
        <v>7.1</v>
      </c>
      <c r="B78" s="44" t="s">
        <v>96</v>
      </c>
      <c r="C78" s="27">
        <v>1</v>
      </c>
      <c r="D78" s="27">
        <v>17</v>
      </c>
      <c r="E78" s="16">
        <v>298</v>
      </c>
      <c r="F78" s="27"/>
      <c r="G78" s="27"/>
      <c r="H78" s="43" t="s">
        <v>97</v>
      </c>
      <c r="I78" s="4"/>
    </row>
    <row r="79" spans="1:9">
      <c r="A79" s="73" t="s">
        <v>98</v>
      </c>
      <c r="B79" s="74" t="s">
        <v>99</v>
      </c>
      <c r="C79" s="27">
        <v>1</v>
      </c>
      <c r="D79" s="27">
        <v>100</v>
      </c>
      <c r="E79" s="16">
        <v>100</v>
      </c>
      <c r="F79" s="27"/>
      <c r="G79" s="27"/>
      <c r="H79" s="43"/>
      <c r="I79" s="4"/>
    </row>
    <row r="80" spans="1:9">
      <c r="A80" s="44">
        <v>7.2</v>
      </c>
      <c r="B80" s="44" t="s">
        <v>100</v>
      </c>
      <c r="C80" s="27">
        <v>1</v>
      </c>
      <c r="D80" s="27">
        <v>200</v>
      </c>
      <c r="E80" s="16">
        <v>200</v>
      </c>
      <c r="F80" s="27"/>
      <c r="G80" s="27"/>
      <c r="H80" s="43" t="s">
        <v>101</v>
      </c>
      <c r="I80" s="4"/>
    </row>
    <row r="81" spans="1:9">
      <c r="A81" s="44">
        <v>7.3</v>
      </c>
      <c r="B81" s="44" t="s">
        <v>90</v>
      </c>
      <c r="C81" s="27">
        <v>4</v>
      </c>
      <c r="D81" s="27">
        <v>125</v>
      </c>
      <c r="E81" s="16">
        <v>500</v>
      </c>
      <c r="F81" s="27"/>
      <c r="G81" s="27"/>
      <c r="H81" s="43" t="s">
        <v>102</v>
      </c>
      <c r="I81" s="4"/>
    </row>
    <row r="82" spans="1:9">
      <c r="A82" s="44">
        <v>7.4</v>
      </c>
      <c r="B82" s="44" t="s">
        <v>103</v>
      </c>
      <c r="C82" s="27">
        <v>1</v>
      </c>
      <c r="D82" s="27">
        <v>250</v>
      </c>
      <c r="E82" s="16">
        <v>250</v>
      </c>
      <c r="F82" s="27"/>
      <c r="G82" s="27"/>
      <c r="H82" s="43" t="s">
        <v>104</v>
      </c>
      <c r="I82" s="4"/>
    </row>
    <row r="83" spans="1:9">
      <c r="A83" s="15">
        <v>7.5</v>
      </c>
      <c r="B83" s="15" t="s">
        <v>105</v>
      </c>
      <c r="C83" s="27">
        <v>2</v>
      </c>
      <c r="D83" s="27">
        <v>175</v>
      </c>
      <c r="E83" s="16">
        <v>350</v>
      </c>
      <c r="F83" s="27"/>
      <c r="G83" s="27"/>
      <c r="H83" s="55" t="s">
        <v>106</v>
      </c>
      <c r="I83" s="4"/>
    </row>
    <row r="84" spans="1:9" ht="54">
      <c r="A84" s="19" t="s">
        <v>107</v>
      </c>
      <c r="B84" s="20" t="s">
        <v>108</v>
      </c>
      <c r="C84" s="27">
        <v>1</v>
      </c>
      <c r="D84" s="27">
        <v>500</v>
      </c>
      <c r="E84" s="16">
        <v>500</v>
      </c>
      <c r="F84" s="27"/>
      <c r="G84" s="27"/>
      <c r="H84" s="55" t="s">
        <v>109</v>
      </c>
      <c r="I84" s="4"/>
    </row>
    <row r="85" spans="1:9">
      <c r="A85" s="15">
        <v>7.6</v>
      </c>
      <c r="B85" s="15" t="s">
        <v>110</v>
      </c>
      <c r="C85" s="16">
        <v>1</v>
      </c>
      <c r="D85" s="27">
        <v>300</v>
      </c>
      <c r="E85" s="16">
        <v>300</v>
      </c>
      <c r="F85" s="27"/>
      <c r="G85" s="27"/>
      <c r="H85" s="55"/>
      <c r="I85" s="4"/>
    </row>
    <row r="86" spans="1:9">
      <c r="A86" s="15">
        <v>7.7</v>
      </c>
      <c r="B86" s="15" t="s">
        <v>111</v>
      </c>
      <c r="C86" s="16">
        <v>2</v>
      </c>
      <c r="D86" s="16">
        <v>50</v>
      </c>
      <c r="E86" s="16">
        <v>100</v>
      </c>
      <c r="F86" s="16"/>
      <c r="G86" s="27"/>
      <c r="H86" s="55"/>
      <c r="I86" s="4"/>
    </row>
    <row r="87" spans="1:9">
      <c r="A87" s="15">
        <v>7.8</v>
      </c>
      <c r="B87" s="15" t="s">
        <v>112</v>
      </c>
      <c r="C87" s="16">
        <v>1</v>
      </c>
      <c r="D87" s="27">
        <v>400</v>
      </c>
      <c r="E87" s="16">
        <v>400</v>
      </c>
      <c r="F87" s="27"/>
      <c r="G87" s="27"/>
      <c r="H87" s="55"/>
      <c r="I87" s="4"/>
    </row>
    <row r="88" spans="1:9">
      <c r="A88" s="19" t="s">
        <v>113</v>
      </c>
      <c r="B88" s="20" t="s">
        <v>114</v>
      </c>
      <c r="C88" s="16">
        <v>1</v>
      </c>
      <c r="D88" s="27">
        <v>120</v>
      </c>
      <c r="E88" s="16">
        <v>120</v>
      </c>
      <c r="F88" s="27"/>
      <c r="G88" s="27"/>
      <c r="H88" s="55"/>
      <c r="I88" s="4"/>
    </row>
    <row r="89" spans="1:9" ht="54">
      <c r="A89" s="15">
        <v>7.9</v>
      </c>
      <c r="B89" s="15" t="s">
        <v>115</v>
      </c>
      <c r="C89" s="16">
        <v>1</v>
      </c>
      <c r="D89" s="27">
        <v>500</v>
      </c>
      <c r="E89" s="16">
        <v>500</v>
      </c>
      <c r="F89" s="27"/>
      <c r="G89" s="27"/>
      <c r="H89" s="93" t="s">
        <v>116</v>
      </c>
      <c r="I89" s="4"/>
    </row>
    <row r="90" spans="1:9">
      <c r="A90" s="19" t="s">
        <v>117</v>
      </c>
      <c r="B90" s="20" t="s">
        <v>54</v>
      </c>
      <c r="C90" s="16">
        <v>1</v>
      </c>
      <c r="D90" s="27">
        <v>100</v>
      </c>
      <c r="E90" s="16">
        <v>100</v>
      </c>
      <c r="F90" s="27"/>
      <c r="G90" s="27"/>
      <c r="H90" s="16" t="s">
        <v>118</v>
      </c>
      <c r="I90" s="4"/>
    </row>
    <row r="91" spans="1:9" ht="54">
      <c r="A91" s="64" t="s">
        <v>119</v>
      </c>
      <c r="B91" s="94" t="s">
        <v>120</v>
      </c>
      <c r="C91" s="62">
        <v>1</v>
      </c>
      <c r="D91" s="66">
        <v>125</v>
      </c>
      <c r="E91" s="62">
        <v>125</v>
      </c>
      <c r="F91" s="66"/>
      <c r="G91" s="66"/>
      <c r="H91" s="93" t="s">
        <v>121</v>
      </c>
      <c r="I91" s="4"/>
    </row>
    <row r="92" spans="1:9">
      <c r="A92" s="140">
        <v>7.1</v>
      </c>
      <c r="B92" s="15" t="s">
        <v>122</v>
      </c>
      <c r="C92" s="16">
        <v>1</v>
      </c>
      <c r="D92" s="27">
        <v>500</v>
      </c>
      <c r="E92" s="16">
        <v>500</v>
      </c>
      <c r="F92" s="27"/>
      <c r="G92" s="27"/>
      <c r="H92" s="16" t="s">
        <v>123</v>
      </c>
      <c r="I92" s="4"/>
    </row>
    <row r="93" spans="1:9">
      <c r="A93" s="19" t="s">
        <v>124</v>
      </c>
      <c r="B93" s="20" t="s">
        <v>90</v>
      </c>
      <c r="C93" s="16">
        <v>3</v>
      </c>
      <c r="D93" s="27">
        <v>125</v>
      </c>
      <c r="E93" s="16">
        <v>375</v>
      </c>
      <c r="F93" s="27"/>
      <c r="G93" s="27"/>
      <c r="H93" s="16" t="s">
        <v>125</v>
      </c>
      <c r="I93" s="4"/>
    </row>
    <row r="94" spans="1:9">
      <c r="A94" s="15">
        <v>7.11</v>
      </c>
      <c r="B94" s="15" t="s">
        <v>126</v>
      </c>
      <c r="C94" s="16">
        <v>0</v>
      </c>
      <c r="D94" s="27">
        <v>500</v>
      </c>
      <c r="E94" s="16">
        <v>0</v>
      </c>
      <c r="F94" s="27"/>
      <c r="G94" s="27"/>
      <c r="H94" s="16" t="s">
        <v>127</v>
      </c>
      <c r="I94" s="4"/>
    </row>
    <row r="95" spans="1:9">
      <c r="A95" s="64" t="s">
        <v>128</v>
      </c>
      <c r="B95" s="20" t="s">
        <v>129</v>
      </c>
      <c r="C95" s="62">
        <v>6</v>
      </c>
      <c r="D95" s="27">
        <v>100</v>
      </c>
      <c r="E95" s="16">
        <v>600</v>
      </c>
      <c r="F95" s="27"/>
      <c r="G95" s="27"/>
      <c r="H95" s="62" t="s">
        <v>130</v>
      </c>
      <c r="I95" s="4"/>
    </row>
    <row r="96" spans="1:9" ht="40.5">
      <c r="A96" s="143">
        <v>7.12</v>
      </c>
      <c r="B96" s="95" t="s">
        <v>131</v>
      </c>
      <c r="C96" s="143">
        <v>2</v>
      </c>
      <c r="D96" s="143">
        <v>125</v>
      </c>
      <c r="E96" s="95">
        <v>250</v>
      </c>
      <c r="F96" s="96"/>
      <c r="G96" s="96"/>
      <c r="H96" s="97" t="s">
        <v>132</v>
      </c>
      <c r="I96" s="144" t="s">
        <v>133</v>
      </c>
    </row>
    <row r="97" spans="1:9" ht="54">
      <c r="A97" s="143">
        <v>7.13</v>
      </c>
      <c r="B97" s="95" t="s">
        <v>134</v>
      </c>
      <c r="C97" s="95">
        <v>1</v>
      </c>
      <c r="D97" s="143">
        <v>300</v>
      </c>
      <c r="E97" s="95">
        <v>300</v>
      </c>
      <c r="F97" s="96"/>
      <c r="G97" s="96"/>
      <c r="H97" s="97" t="s">
        <v>135</v>
      </c>
      <c r="I97" s="144" t="s">
        <v>133</v>
      </c>
    </row>
    <row r="98" spans="1:9">
      <c r="A98" s="19" t="s">
        <v>136</v>
      </c>
      <c r="B98" s="20" t="s">
        <v>52</v>
      </c>
      <c r="C98" s="16">
        <v>1</v>
      </c>
      <c r="D98" s="16">
        <v>100</v>
      </c>
      <c r="E98" s="16">
        <v>100</v>
      </c>
      <c r="F98" s="27"/>
      <c r="G98" s="27"/>
      <c r="H98" s="16" t="s">
        <v>137</v>
      </c>
      <c r="I98" s="4"/>
    </row>
    <row r="99" spans="1:9">
      <c r="A99" s="19" t="s">
        <v>138</v>
      </c>
      <c r="B99" s="20" t="s">
        <v>54</v>
      </c>
      <c r="C99" s="16">
        <v>1</v>
      </c>
      <c r="D99" s="16">
        <v>50</v>
      </c>
      <c r="E99" s="16">
        <v>50</v>
      </c>
      <c r="F99" s="27"/>
      <c r="G99" s="27"/>
      <c r="H99" s="16" t="s">
        <v>137</v>
      </c>
      <c r="I99" s="4"/>
    </row>
    <row r="100" spans="1:9">
      <c r="A100" s="15">
        <v>7.14</v>
      </c>
      <c r="B100" s="15" t="s">
        <v>139</v>
      </c>
      <c r="C100" s="16">
        <v>1</v>
      </c>
      <c r="D100" s="98">
        <v>300</v>
      </c>
      <c r="E100" s="16">
        <v>300</v>
      </c>
      <c r="F100" s="27"/>
      <c r="G100" s="27"/>
      <c r="H100" s="16" t="s">
        <v>140</v>
      </c>
      <c r="I100" s="4"/>
    </row>
    <row r="101" spans="1:9">
      <c r="A101" s="15"/>
      <c r="B101" s="15"/>
      <c r="C101" s="16"/>
      <c r="D101" s="27"/>
      <c r="E101" s="16"/>
      <c r="F101" s="27"/>
      <c r="G101" s="27"/>
      <c r="H101" s="16"/>
      <c r="I101" s="4"/>
    </row>
    <row r="102" spans="1:9">
      <c r="A102" s="2"/>
      <c r="B102" s="2"/>
      <c r="C102" s="2"/>
      <c r="D102" s="2"/>
      <c r="E102" s="2"/>
      <c r="F102" s="48"/>
      <c r="G102" s="2"/>
      <c r="H102" s="2"/>
      <c r="I102" s="4"/>
    </row>
    <row r="103" spans="1:9" ht="15.75" thickBot="1">
      <c r="A103" s="22"/>
      <c r="B103" s="22"/>
      <c r="C103" s="182" t="s">
        <v>44</v>
      </c>
      <c r="D103" s="183"/>
      <c r="E103" s="100">
        <v>6318</v>
      </c>
      <c r="F103" s="99" t="s">
        <v>45</v>
      </c>
      <c r="G103" s="100">
        <v>0</v>
      </c>
      <c r="H103" s="22"/>
      <c r="I103" s="4"/>
    </row>
    <row r="104" spans="1:9" ht="15.75" thickBot="1">
      <c r="A104" s="4"/>
      <c r="B104" s="4"/>
      <c r="C104" s="4"/>
      <c r="D104" s="4"/>
      <c r="E104" s="4"/>
      <c r="F104" s="4"/>
      <c r="G104" s="4"/>
      <c r="H104" s="4"/>
      <c r="I104" s="4"/>
    </row>
    <row r="105" spans="1:9">
      <c r="A105" s="101">
        <v>8</v>
      </c>
      <c r="B105" s="102" t="s">
        <v>141</v>
      </c>
      <c r="C105" s="103"/>
      <c r="D105" s="103"/>
      <c r="E105" s="103"/>
      <c r="F105" s="103"/>
      <c r="G105" s="103"/>
      <c r="H105" s="104" t="s">
        <v>142</v>
      </c>
      <c r="I105" s="4"/>
    </row>
    <row r="106" spans="1:9">
      <c r="A106" s="15"/>
      <c r="B106" s="16"/>
      <c r="C106" s="16"/>
      <c r="D106" s="16"/>
      <c r="E106" s="19"/>
      <c r="F106" s="16"/>
      <c r="G106" s="16"/>
      <c r="H106" s="43"/>
      <c r="I106" s="4"/>
    </row>
    <row r="107" spans="1:9">
      <c r="A107" s="19"/>
      <c r="B107" s="20"/>
      <c r="C107" s="16"/>
      <c r="D107" s="16"/>
      <c r="E107" s="19"/>
      <c r="F107" s="16"/>
      <c r="G107" s="16"/>
      <c r="H107" s="16"/>
      <c r="I107" s="4"/>
    </row>
    <row r="108" spans="1:9" ht="15.75" thickBot="1">
      <c r="A108" s="1"/>
      <c r="B108" s="2"/>
      <c r="C108" s="2"/>
      <c r="D108" s="2"/>
      <c r="E108" s="3"/>
      <c r="F108" s="2"/>
      <c r="G108" s="2"/>
      <c r="H108" s="2"/>
      <c r="I108" s="4"/>
    </row>
    <row r="109" spans="1:9" ht="15.75" thickBot="1">
      <c r="A109" s="22"/>
      <c r="B109" s="22"/>
      <c r="C109" s="102" t="s">
        <v>44</v>
      </c>
      <c r="D109" s="102"/>
      <c r="E109" s="105">
        <v>0</v>
      </c>
      <c r="F109" s="102" t="s">
        <v>45</v>
      </c>
      <c r="G109" s="105">
        <v>0</v>
      </c>
      <c r="H109" s="22"/>
      <c r="I109" s="4"/>
    </row>
    <row r="110" spans="1:9" ht="15.75" thickBot="1">
      <c r="A110" s="106"/>
      <c r="B110" s="107"/>
      <c r="C110" s="108"/>
      <c r="D110" s="108"/>
      <c r="E110" s="109"/>
      <c r="F110" s="108"/>
      <c r="G110" s="108"/>
      <c r="H110" s="110"/>
      <c r="I110" s="4"/>
    </row>
    <row r="111" spans="1:9">
      <c r="A111" s="111">
        <v>9</v>
      </c>
      <c r="B111" s="112" t="s">
        <v>143</v>
      </c>
      <c r="C111" s="113"/>
      <c r="D111" s="113"/>
      <c r="E111" s="113"/>
      <c r="F111" s="113"/>
      <c r="G111" s="113"/>
      <c r="H111" s="114"/>
      <c r="I111" s="4"/>
    </row>
    <row r="112" spans="1:9" ht="40.5">
      <c r="A112" s="15">
        <v>9.1</v>
      </c>
      <c r="B112" s="16" t="s">
        <v>144</v>
      </c>
      <c r="C112" s="16">
        <v>1</v>
      </c>
      <c r="D112" s="16">
        <v>2000</v>
      </c>
      <c r="E112" s="16">
        <v>2000</v>
      </c>
      <c r="F112" s="27"/>
      <c r="G112" s="27"/>
      <c r="H112" s="55" t="s">
        <v>145</v>
      </c>
      <c r="I112" s="4"/>
    </row>
    <row r="113" spans="1:9" ht="27">
      <c r="A113" s="19" t="s">
        <v>146</v>
      </c>
      <c r="B113" s="20" t="s">
        <v>90</v>
      </c>
      <c r="C113" s="95">
        <v>1</v>
      </c>
      <c r="D113" s="2">
        <v>125</v>
      </c>
      <c r="E113" s="16">
        <v>125</v>
      </c>
      <c r="F113" s="27"/>
      <c r="G113" s="27"/>
      <c r="H113" s="115" t="s">
        <v>147</v>
      </c>
      <c r="I113" s="4"/>
    </row>
    <row r="114" spans="1:9" ht="40.5">
      <c r="A114" s="19" t="s">
        <v>148</v>
      </c>
      <c r="B114" s="20" t="s">
        <v>149</v>
      </c>
      <c r="C114" s="95">
        <v>1</v>
      </c>
      <c r="D114" s="16">
        <v>250</v>
      </c>
      <c r="E114" s="16">
        <v>250</v>
      </c>
      <c r="F114" s="27"/>
      <c r="G114" s="27"/>
      <c r="H114" s="115" t="s">
        <v>150</v>
      </c>
      <c r="I114" s="4"/>
    </row>
    <row r="115" spans="1:9">
      <c r="A115" s="19" t="s">
        <v>151</v>
      </c>
      <c r="B115" s="20" t="s">
        <v>52</v>
      </c>
      <c r="C115" s="16">
        <v>1</v>
      </c>
      <c r="D115" s="16">
        <v>150</v>
      </c>
      <c r="E115" s="16">
        <v>150</v>
      </c>
      <c r="F115" s="27"/>
      <c r="G115" s="27"/>
      <c r="H115" s="55"/>
      <c r="I115" s="4"/>
    </row>
    <row r="116" spans="1:9">
      <c r="A116" s="19" t="s">
        <v>152</v>
      </c>
      <c r="B116" s="20" t="s">
        <v>54</v>
      </c>
      <c r="C116" s="16">
        <v>1</v>
      </c>
      <c r="D116" s="16">
        <v>50</v>
      </c>
      <c r="E116" s="16">
        <v>50</v>
      </c>
      <c r="F116" s="27"/>
      <c r="G116" s="27"/>
      <c r="H116" s="55"/>
      <c r="I116" s="4"/>
    </row>
    <row r="117" spans="1:9">
      <c r="A117" s="15"/>
      <c r="B117" s="16"/>
      <c r="C117" s="16"/>
      <c r="D117" s="16"/>
      <c r="E117" s="19"/>
      <c r="F117" s="116"/>
      <c r="G117" s="116"/>
      <c r="H117" s="55"/>
      <c r="I117" s="4"/>
    </row>
    <row r="118" spans="1:9">
      <c r="A118" s="15"/>
      <c r="B118" s="20"/>
      <c r="C118" s="16"/>
      <c r="D118" s="16"/>
      <c r="E118" s="19"/>
      <c r="F118" s="116"/>
      <c r="G118" s="116"/>
      <c r="H118" s="55"/>
      <c r="I118" s="4"/>
    </row>
    <row r="119" spans="1:9">
      <c r="A119" s="2"/>
      <c r="B119" s="2"/>
      <c r="C119" s="2"/>
      <c r="D119" s="2"/>
      <c r="E119" s="2"/>
      <c r="F119" s="2"/>
      <c r="G119" s="2"/>
      <c r="H119" s="2"/>
      <c r="I119" s="4"/>
    </row>
    <row r="120" spans="1:9" ht="15.75" thickBot="1">
      <c r="A120" s="22"/>
      <c r="B120" s="22"/>
      <c r="C120" s="184" t="s">
        <v>44</v>
      </c>
      <c r="D120" s="185"/>
      <c r="E120" s="117">
        <v>2575</v>
      </c>
      <c r="F120" s="118" t="s">
        <v>45</v>
      </c>
      <c r="G120" s="117">
        <v>0</v>
      </c>
      <c r="H120" s="22"/>
      <c r="I120" s="4"/>
    </row>
    <row r="121" spans="1:9" ht="15.75" thickBot="1">
      <c r="A121" s="2"/>
      <c r="B121" s="2"/>
      <c r="C121" s="92"/>
      <c r="D121" s="92"/>
      <c r="E121" s="92"/>
      <c r="F121" s="92"/>
      <c r="G121" s="92"/>
      <c r="H121" s="2"/>
      <c r="I121" s="4"/>
    </row>
    <row r="122" spans="1:9">
      <c r="A122" s="138">
        <v>8</v>
      </c>
      <c r="B122" s="119" t="s">
        <v>153</v>
      </c>
      <c r="C122" s="120"/>
      <c r="D122" s="120"/>
      <c r="E122" s="120"/>
      <c r="F122" s="120"/>
      <c r="G122" s="120"/>
      <c r="H122" s="121"/>
      <c r="I122" s="4"/>
    </row>
    <row r="123" spans="1:9" ht="27">
      <c r="A123" s="15">
        <v>8.1</v>
      </c>
      <c r="B123" s="16" t="s">
        <v>154</v>
      </c>
      <c r="C123" s="27">
        <v>4</v>
      </c>
      <c r="D123" s="27">
        <v>70</v>
      </c>
      <c r="E123" s="27">
        <v>280</v>
      </c>
      <c r="F123" s="116"/>
      <c r="G123" s="116"/>
      <c r="H123" s="55" t="s">
        <v>155</v>
      </c>
      <c r="I123" s="4"/>
    </row>
    <row r="124" spans="1:9">
      <c r="A124" s="15">
        <v>8.1999999999999993</v>
      </c>
      <c r="B124" s="16" t="s">
        <v>111</v>
      </c>
      <c r="C124" s="27">
        <v>4</v>
      </c>
      <c r="D124" s="27">
        <v>50</v>
      </c>
      <c r="E124" s="27">
        <v>200</v>
      </c>
      <c r="F124" s="116"/>
      <c r="G124" s="116"/>
      <c r="H124" s="55" t="s">
        <v>156</v>
      </c>
      <c r="I124" s="4"/>
    </row>
    <row r="125" spans="1:9">
      <c r="A125" s="15">
        <v>8.3000000000000007</v>
      </c>
      <c r="B125" s="16" t="s">
        <v>54</v>
      </c>
      <c r="C125" s="27">
        <v>2</v>
      </c>
      <c r="D125" s="27">
        <v>50</v>
      </c>
      <c r="E125" s="27">
        <v>100</v>
      </c>
      <c r="F125" s="116"/>
      <c r="G125" s="116"/>
      <c r="H125" s="55" t="s">
        <v>157</v>
      </c>
      <c r="I125" s="4"/>
    </row>
    <row r="126" spans="1:9">
      <c r="A126" s="122">
        <v>8.4</v>
      </c>
      <c r="B126" s="62" t="s">
        <v>158</v>
      </c>
      <c r="C126" s="66">
        <v>1</v>
      </c>
      <c r="D126" s="66">
        <v>250</v>
      </c>
      <c r="E126" s="66">
        <v>250</v>
      </c>
      <c r="F126" s="123"/>
      <c r="G126" s="123"/>
      <c r="H126" s="63" t="s">
        <v>159</v>
      </c>
      <c r="I126" s="4"/>
    </row>
    <row r="127" spans="1:9">
      <c r="A127" s="122">
        <v>8.5</v>
      </c>
      <c r="B127" s="62" t="s">
        <v>160</v>
      </c>
      <c r="C127" s="66">
        <v>2</v>
      </c>
      <c r="D127" s="66">
        <v>150</v>
      </c>
      <c r="E127" s="66">
        <v>300</v>
      </c>
      <c r="F127" s="123"/>
      <c r="G127" s="123"/>
      <c r="H127" s="63" t="s">
        <v>161</v>
      </c>
      <c r="I127" s="4"/>
    </row>
    <row r="128" spans="1:9">
      <c r="A128" s="15"/>
      <c r="B128" s="116"/>
      <c r="C128" s="116"/>
      <c r="D128" s="116"/>
      <c r="E128" s="116"/>
      <c r="F128" s="116"/>
      <c r="G128" s="116"/>
      <c r="H128" s="116"/>
      <c r="I128" s="4"/>
    </row>
    <row r="129" spans="1:9">
      <c r="A129" s="2"/>
      <c r="B129" s="2"/>
      <c r="C129" s="2"/>
      <c r="D129" s="2"/>
      <c r="E129" s="2"/>
      <c r="F129" s="2"/>
      <c r="G129" s="2"/>
      <c r="H129" s="2"/>
      <c r="I129" s="4"/>
    </row>
    <row r="130" spans="1:9" ht="15.75" thickBot="1">
      <c r="A130" s="22"/>
      <c r="B130" s="22"/>
      <c r="C130" s="186" t="s">
        <v>44</v>
      </c>
      <c r="D130" s="187"/>
      <c r="E130" s="124">
        <v>1130</v>
      </c>
      <c r="F130" s="125" t="s">
        <v>45</v>
      </c>
      <c r="G130" s="124">
        <v>0</v>
      </c>
      <c r="H130" s="22"/>
      <c r="I130" s="4"/>
    </row>
    <row r="131" spans="1:9" ht="15.75" thickBot="1">
      <c r="A131" s="2"/>
      <c r="B131" s="2"/>
      <c r="C131" s="92"/>
      <c r="D131" s="92"/>
      <c r="E131" s="92"/>
      <c r="F131" s="92"/>
      <c r="G131" s="92"/>
      <c r="H131" s="2"/>
      <c r="I131" s="4"/>
    </row>
    <row r="132" spans="1:9">
      <c r="A132" s="4"/>
      <c r="B132" s="4"/>
      <c r="C132" s="160" t="s">
        <v>162</v>
      </c>
      <c r="D132" s="161"/>
      <c r="E132" s="126">
        <v>48373</v>
      </c>
      <c r="F132" s="164" t="s">
        <v>45</v>
      </c>
      <c r="G132" s="127">
        <v>320</v>
      </c>
      <c r="H132" s="128" t="s">
        <v>163</v>
      </c>
      <c r="I132" s="129" t="s">
        <v>164</v>
      </c>
    </row>
    <row r="133" spans="1:9" ht="15.75" thickBot="1">
      <c r="A133" s="4"/>
      <c r="B133" s="4"/>
      <c r="C133" s="162"/>
      <c r="D133" s="163"/>
      <c r="E133" s="130" t="s">
        <v>165</v>
      </c>
      <c r="F133" s="165"/>
      <c r="G133" s="156"/>
      <c r="H133" s="128"/>
      <c r="I133" s="129" t="s">
        <v>166</v>
      </c>
    </row>
    <row r="134" spans="1:9" ht="15.75" thickBot="1">
      <c r="A134" s="4"/>
      <c r="B134" s="4"/>
      <c r="C134" s="158" t="s">
        <v>167</v>
      </c>
      <c r="D134" s="159"/>
      <c r="E134" s="131">
        <v>2902</v>
      </c>
      <c r="F134" s="166"/>
      <c r="G134" s="157"/>
      <c r="H134" s="132"/>
      <c r="I134" s="4"/>
    </row>
    <row r="135" spans="1:9" ht="25.9" customHeight="1" thickBot="1">
      <c r="A135" s="4"/>
      <c r="B135" s="4"/>
      <c r="C135" s="167" t="s">
        <v>168</v>
      </c>
      <c r="D135" s="168"/>
      <c r="E135" s="133">
        <v>13844</v>
      </c>
      <c r="F135" s="169" t="s">
        <v>169</v>
      </c>
      <c r="G135" s="127">
        <v>288</v>
      </c>
      <c r="H135" s="132"/>
      <c r="I135" s="4"/>
    </row>
    <row r="136" spans="1:9" ht="15.75" thickBot="1">
      <c r="A136" s="4"/>
      <c r="B136" s="4"/>
      <c r="C136" s="170" t="s">
        <v>170</v>
      </c>
      <c r="D136" s="171"/>
      <c r="E136" s="126">
        <v>65119</v>
      </c>
      <c r="F136" s="156"/>
      <c r="G136" s="134"/>
      <c r="H136" s="128"/>
      <c r="I136" s="4"/>
    </row>
    <row r="137" spans="1:9" ht="15.75" thickBot="1">
      <c r="A137" s="4"/>
      <c r="B137" s="4"/>
      <c r="C137" s="172"/>
      <c r="D137" s="173"/>
      <c r="E137" s="130" t="s">
        <v>171</v>
      </c>
      <c r="F137" s="4"/>
      <c r="G137" s="4"/>
      <c r="H137" s="4"/>
      <c r="I137" s="4"/>
    </row>
    <row r="138" spans="1:9" ht="15.75" thickBot="1">
      <c r="A138" s="4"/>
      <c r="B138" s="4"/>
      <c r="C138" s="188"/>
      <c r="D138" s="188"/>
      <c r="E138" s="189"/>
      <c r="F138" s="189"/>
      <c r="G138" s="4"/>
      <c r="H138" s="4"/>
      <c r="I138" s="4"/>
    </row>
    <row r="139" spans="1:9" ht="15.75" thickBot="1">
      <c r="A139" s="4"/>
      <c r="B139" s="4"/>
      <c r="C139" s="167" t="s">
        <v>172</v>
      </c>
      <c r="D139" s="168"/>
      <c r="E139" s="135">
        <v>450</v>
      </c>
      <c r="F139" s="4"/>
      <c r="G139" s="4"/>
      <c r="H139" s="4"/>
      <c r="I139" s="4"/>
    </row>
    <row r="140" spans="1:9" ht="25.9" customHeight="1" thickBot="1">
      <c r="A140" s="4"/>
      <c r="B140" s="4"/>
      <c r="C140" s="167" t="s">
        <v>173</v>
      </c>
      <c r="D140" s="168"/>
      <c r="E140" s="135">
        <v>29303576.780000001</v>
      </c>
      <c r="F140" s="4"/>
      <c r="G140" s="4"/>
      <c r="H140" s="4"/>
      <c r="I140" s="4"/>
    </row>
  </sheetData>
  <mergeCells count="24">
    <mergeCell ref="C140:D140"/>
    <mergeCell ref="C135:D135"/>
    <mergeCell ref="F135:F136"/>
    <mergeCell ref="C136:D137"/>
    <mergeCell ref="C138:D138"/>
    <mergeCell ref="E138:F138"/>
    <mergeCell ref="C139:D139"/>
    <mergeCell ref="G133:G134"/>
    <mergeCell ref="C134:D134"/>
    <mergeCell ref="C47:D47"/>
    <mergeCell ref="C58:D58"/>
    <mergeCell ref="C66:D66"/>
    <mergeCell ref="C75:D75"/>
    <mergeCell ref="C103:D103"/>
    <mergeCell ref="C120:D120"/>
    <mergeCell ref="C130:D130"/>
    <mergeCell ref="C132:D133"/>
    <mergeCell ref="F132:F134"/>
    <mergeCell ref="H1:H5"/>
    <mergeCell ref="C1:G1"/>
    <mergeCell ref="C2:G2"/>
    <mergeCell ref="C3:G3"/>
    <mergeCell ref="C4:G4"/>
    <mergeCell ref="C5:G5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A1249-5E4F-438F-9FF9-DD1114FAFF2E}">
  <sheetPr codeName="Sheet2"/>
  <dimension ref="A1:O82"/>
  <sheetViews>
    <sheetView workbookViewId="0">
      <selection activeCell="J79" sqref="J77:J79"/>
    </sheetView>
  </sheetViews>
  <sheetFormatPr defaultRowHeight="15"/>
  <cols>
    <col min="1" max="1" width="7.42578125" bestFit="1" customWidth="1"/>
    <col min="2" max="2" width="30.140625" style="5" bestFit="1" customWidth="1"/>
    <col min="8" max="8" width="54.85546875" style="5" bestFit="1" customWidth="1"/>
    <col min="9" max="10" width="8.28515625" style="5" customWidth="1"/>
    <col min="11" max="11" width="9.85546875" customWidth="1"/>
    <col min="12" max="12" width="16.7109375" customWidth="1"/>
  </cols>
  <sheetData>
    <row r="1" spans="1:15" ht="63" customHeight="1">
      <c r="A1" s="148" t="s">
        <v>9</v>
      </c>
      <c r="B1" s="149" t="s">
        <v>10</v>
      </c>
      <c r="C1" s="149" t="s">
        <v>11</v>
      </c>
      <c r="D1" s="149" t="s">
        <v>12</v>
      </c>
      <c r="E1" s="149" t="s">
        <v>13</v>
      </c>
      <c r="F1" s="149" t="s">
        <v>14</v>
      </c>
      <c r="G1" s="149" t="s">
        <v>15</v>
      </c>
      <c r="H1" s="149" t="s">
        <v>16</v>
      </c>
      <c r="I1" s="149" t="s">
        <v>174</v>
      </c>
      <c r="J1" s="149" t="s">
        <v>175</v>
      </c>
      <c r="K1" s="149" t="s">
        <v>176</v>
      </c>
      <c r="L1" s="149" t="s">
        <v>177</v>
      </c>
      <c r="M1" s="149" t="s">
        <v>178</v>
      </c>
      <c r="N1" s="149" t="s">
        <v>179</v>
      </c>
      <c r="O1" s="149" t="s">
        <v>180</v>
      </c>
    </row>
    <row r="2" spans="1:15">
      <c r="A2" cm="1">
        <f t="array" ref="A2:H17">ProjectSheet!A9:H24</f>
        <v>1.1000000000000001</v>
      </c>
      <c r="B2" t="str">
        <v>Classroom - K</v>
      </c>
      <c r="C2">
        <v>4</v>
      </c>
      <c r="D2">
        <v>850</v>
      </c>
      <c r="E2">
        <v>3400</v>
      </c>
      <c r="F2">
        <v>16</v>
      </c>
      <c r="G2">
        <v>64</v>
      </c>
      <c r="H2" t="str">
        <v>Relocated from Manning, smaller size (existing ~800sf); first floor</v>
      </c>
      <c r="I2">
        <v>1.2</v>
      </c>
      <c r="J2">
        <v>1</v>
      </c>
      <c r="K2" s="75"/>
      <c r="L2" t="str" cm="1">
        <f t="array" ref="L2">findcolor(K2,"rgb")</f>
        <v>255, 255, 255</v>
      </c>
      <c r="M2" s="147"/>
      <c r="O2" s="146" t="s">
        <v>181</v>
      </c>
    </row>
    <row r="3" spans="1:15">
      <c r="A3" t="str">
        <v>1.1.1</v>
      </c>
      <c r="B3" t="str">
        <v>Restroom</v>
      </c>
      <c r="C3">
        <v>4</v>
      </c>
      <c r="D3">
        <v>50</v>
      </c>
      <c r="E3">
        <v>200</v>
      </c>
      <c r="F3">
        <v>0</v>
      </c>
      <c r="G3">
        <v>0</v>
      </c>
      <c r="H3" t="str">
        <v>(1) per classroom</v>
      </c>
      <c r="I3">
        <v>1.1000000000000001</v>
      </c>
      <c r="J3">
        <v>1</v>
      </c>
      <c r="K3" s="75"/>
      <c r="L3" t="str" cm="1">
        <f t="array" ref="L3">findcolor(K3,"rgb")</f>
        <v>255, 255, 255</v>
      </c>
      <c r="M3" s="147" t="s">
        <v>182</v>
      </c>
      <c r="N3">
        <v>5</v>
      </c>
      <c r="O3" t="s">
        <v>183</v>
      </c>
    </row>
    <row r="4" spans="1:15">
      <c r="A4" t="str">
        <v>1.1.2</v>
      </c>
      <c r="B4" t="str">
        <v>Vestibule</v>
      </c>
      <c r="C4">
        <v>4</v>
      </c>
      <c r="D4">
        <v>50</v>
      </c>
      <c r="E4">
        <v>200</v>
      </c>
      <c r="F4">
        <v>0</v>
      </c>
      <c r="G4">
        <v>0</v>
      </c>
      <c r="H4" t="str">
        <v>connecting classrooms/RRs</v>
      </c>
      <c r="I4" t="s">
        <v>24</v>
      </c>
      <c r="J4">
        <v>1</v>
      </c>
      <c r="K4" s="75"/>
      <c r="L4" t="str" cm="1">
        <f t="array" ref="L4">findcolor(K4,"rgb")</f>
        <v>255, 255, 255</v>
      </c>
      <c r="M4" s="147" t="s">
        <v>182</v>
      </c>
    </row>
    <row r="5" spans="1:15">
      <c r="A5">
        <v>1.2</v>
      </c>
      <c r="B5" t="str">
        <v>Classroom - 1</v>
      </c>
      <c r="C5">
        <v>4</v>
      </c>
      <c r="D5">
        <v>850</v>
      </c>
      <c r="E5">
        <v>3400</v>
      </c>
      <c r="F5">
        <v>16</v>
      </c>
      <c r="G5">
        <v>64</v>
      </c>
      <c r="H5" t="str">
        <v>Relocated from Manning, smaller size (existing ~850sf); first floor</v>
      </c>
      <c r="I5">
        <v>1.3</v>
      </c>
      <c r="J5">
        <v>1</v>
      </c>
      <c r="K5" s="75"/>
      <c r="L5" t="str" cm="1">
        <f t="array" ref="L5">findcolor(K5,"rgb")</f>
        <v>255, 255, 255</v>
      </c>
      <c r="M5" s="147"/>
      <c r="O5" t="s">
        <v>181</v>
      </c>
    </row>
    <row r="6" spans="1:15">
      <c r="A6" t="str">
        <v>1.2.1</v>
      </c>
      <c r="B6" t="str">
        <v>Restroom</v>
      </c>
      <c r="C6">
        <v>4</v>
      </c>
      <c r="D6">
        <v>50</v>
      </c>
      <c r="E6">
        <v>200</v>
      </c>
      <c r="F6">
        <v>0</v>
      </c>
      <c r="G6">
        <v>0</v>
      </c>
      <c r="H6" t="str">
        <v>(1) per classroom</v>
      </c>
      <c r="I6">
        <v>1.2</v>
      </c>
      <c r="J6">
        <v>1</v>
      </c>
      <c r="K6" s="75"/>
      <c r="L6" t="str" cm="1">
        <f t="array" ref="L6">findcolor(K6,"rgb")</f>
        <v>255, 255, 255</v>
      </c>
      <c r="M6" s="147" t="s">
        <v>182</v>
      </c>
    </row>
    <row r="7" spans="1:15">
      <c r="A7" t="str">
        <v>1.2.2</v>
      </c>
      <c r="B7" t="str">
        <v>Vestibule</v>
      </c>
      <c r="C7">
        <v>4</v>
      </c>
      <c r="D7">
        <v>50</v>
      </c>
      <c r="E7">
        <v>200</v>
      </c>
      <c r="F7">
        <v>0</v>
      </c>
      <c r="G7">
        <v>0</v>
      </c>
      <c r="H7" t="str">
        <v>connecting classrooms/RRs</v>
      </c>
      <c r="I7" t="s">
        <v>32</v>
      </c>
      <c r="J7">
        <v>1</v>
      </c>
      <c r="K7" s="75"/>
      <c r="L7" t="str" cm="1">
        <f t="array" ref="L7">findcolor(K7,"rgb")</f>
        <v>255, 255, 255</v>
      </c>
      <c r="M7" s="147" t="s">
        <v>182</v>
      </c>
    </row>
    <row r="8" spans="1:15">
      <c r="A8">
        <v>1.3</v>
      </c>
      <c r="B8" t="str">
        <v>Classroom - 2</v>
      </c>
      <c r="C8">
        <v>4</v>
      </c>
      <c r="D8">
        <v>850</v>
      </c>
      <c r="E8">
        <v>3400</v>
      </c>
      <c r="F8">
        <v>16</v>
      </c>
      <c r="G8">
        <v>64</v>
      </c>
      <c r="H8" t="str">
        <v>Relocated from Manning, similar size</v>
      </c>
      <c r="I8">
        <v>1.4</v>
      </c>
      <c r="J8">
        <v>1</v>
      </c>
      <c r="K8" s="75"/>
      <c r="L8" t="str" cm="1">
        <f t="array" ref="L8">findcolor(K8,"rgb")</f>
        <v>255, 255, 255</v>
      </c>
      <c r="M8" s="147"/>
    </row>
    <row r="9" spans="1:15">
      <c r="A9" t="str">
        <v>1.3.1</v>
      </c>
      <c r="B9" t="str">
        <v>Restroom</v>
      </c>
      <c r="C9">
        <v>4</v>
      </c>
      <c r="D9">
        <v>50</v>
      </c>
      <c r="E9">
        <v>200</v>
      </c>
      <c r="F9">
        <v>0</v>
      </c>
      <c r="G9">
        <v>0</v>
      </c>
      <c r="H9" t="str">
        <v>(1) per classroom</v>
      </c>
      <c r="I9">
        <v>1.3</v>
      </c>
      <c r="J9">
        <v>1</v>
      </c>
      <c r="K9" s="75"/>
      <c r="L9" t="str" cm="1">
        <f t="array" ref="L9">findcolor(K9,"rgb")</f>
        <v>255, 255, 255</v>
      </c>
      <c r="M9" s="147" t="s">
        <v>182</v>
      </c>
    </row>
    <row r="10" spans="1:15">
      <c r="A10" t="str">
        <v>1.3.2</v>
      </c>
      <c r="B10" t="str">
        <v>Vestibule</v>
      </c>
      <c r="C10">
        <v>4</v>
      </c>
      <c r="D10">
        <v>50</v>
      </c>
      <c r="E10">
        <v>200</v>
      </c>
      <c r="F10">
        <v>0</v>
      </c>
      <c r="G10">
        <v>0</v>
      </c>
      <c r="H10" t="str">
        <v>connecting classrooms/RRs</v>
      </c>
      <c r="I10" t="s">
        <v>36</v>
      </c>
      <c r="J10">
        <v>1</v>
      </c>
      <c r="K10" s="75"/>
      <c r="L10" t="str" cm="1">
        <f t="array" ref="L10">findcolor(K10,"rgb")</f>
        <v>255, 255, 255</v>
      </c>
      <c r="M10" s="147" t="s">
        <v>182</v>
      </c>
    </row>
    <row r="11" spans="1:15">
      <c r="A11">
        <v>1.4</v>
      </c>
      <c r="B11" t="str">
        <v>Classroom - 3</v>
      </c>
      <c r="C11">
        <v>4</v>
      </c>
      <c r="D11">
        <v>850</v>
      </c>
      <c r="E11">
        <v>3400</v>
      </c>
      <c r="F11">
        <v>16</v>
      </c>
      <c r="G11">
        <v>64</v>
      </c>
      <c r="H11" t="str">
        <v>Relocated from Manning, similar size</v>
      </c>
      <c r="I11">
        <v>1.5</v>
      </c>
      <c r="J11"/>
      <c r="K11" s="75"/>
      <c r="L11" t="str" cm="1">
        <f t="array" ref="L11">findcolor(K11,"rgb")</f>
        <v>255, 255, 255</v>
      </c>
      <c r="M11" s="147"/>
    </row>
    <row r="12" spans="1:15">
      <c r="A12" t="str">
        <v>1.4.1</v>
      </c>
      <c r="B12" t="str">
        <v>Restroom</v>
      </c>
      <c r="C12">
        <v>4</v>
      </c>
      <c r="D12">
        <v>50</v>
      </c>
      <c r="E12">
        <v>200</v>
      </c>
      <c r="F12">
        <v>0</v>
      </c>
      <c r="G12">
        <v>0</v>
      </c>
      <c r="H12" t="str">
        <v>(1) per classroom</v>
      </c>
      <c r="I12">
        <v>1.4</v>
      </c>
      <c r="J12"/>
      <c r="K12" s="75"/>
      <c r="L12" t="str" cm="1">
        <f t="array" ref="L12">findcolor(K12,"rgb")</f>
        <v>255, 255, 255</v>
      </c>
      <c r="M12" s="147" t="s">
        <v>182</v>
      </c>
    </row>
    <row r="13" spans="1:15">
      <c r="A13" t="str">
        <v>1.4.2</v>
      </c>
      <c r="B13" t="str">
        <v>Vestibule</v>
      </c>
      <c r="C13">
        <v>4</v>
      </c>
      <c r="D13">
        <v>50</v>
      </c>
      <c r="E13">
        <v>200</v>
      </c>
      <c r="F13">
        <v>0</v>
      </c>
      <c r="G13">
        <v>0</v>
      </c>
      <c r="H13" t="str">
        <v>connecting classrooms/RRs</v>
      </c>
      <c r="I13" t="s">
        <v>39</v>
      </c>
      <c r="J13"/>
      <c r="K13" s="75"/>
      <c r="L13" t="str" cm="1">
        <f t="array" ref="L13">findcolor(K13,"rgb")</f>
        <v>255, 255, 255</v>
      </c>
      <c r="M13" s="147" t="s">
        <v>182</v>
      </c>
    </row>
    <row r="14" spans="1:15">
      <c r="A14">
        <v>1.5</v>
      </c>
      <c r="B14" t="str">
        <v>Classroom - 4</v>
      </c>
      <c r="C14">
        <v>4</v>
      </c>
      <c r="D14">
        <v>850</v>
      </c>
      <c r="E14">
        <v>3400</v>
      </c>
      <c r="F14">
        <v>16</v>
      </c>
      <c r="G14">
        <v>64</v>
      </c>
      <c r="H14" t="str">
        <v>Relocated from Manning, similar size</v>
      </c>
      <c r="I14">
        <v>1.1000000000000001</v>
      </c>
      <c r="J14"/>
      <c r="K14" s="75"/>
      <c r="L14" t="str" cm="1">
        <f t="array" ref="L14">findcolor(K14,"rgb")</f>
        <v>255, 255, 255</v>
      </c>
      <c r="M14" s="147"/>
    </row>
    <row r="15" spans="1:15">
      <c r="A15" t="str">
        <v>1.5.1</v>
      </c>
      <c r="B15" t="str">
        <v>Restroom</v>
      </c>
      <c r="C15">
        <v>4</v>
      </c>
      <c r="D15">
        <v>50</v>
      </c>
      <c r="E15">
        <v>200</v>
      </c>
      <c r="F15">
        <v>0</v>
      </c>
      <c r="G15">
        <v>0</v>
      </c>
      <c r="H15" t="str">
        <v>(1) per classroom</v>
      </c>
      <c r="I15">
        <v>1.5</v>
      </c>
      <c r="J15"/>
      <c r="K15" s="75"/>
      <c r="L15" t="str" cm="1">
        <f t="array" ref="L15">findcolor(K15,"rgb")</f>
        <v>255, 255, 255</v>
      </c>
      <c r="M15" s="147" t="s">
        <v>182</v>
      </c>
    </row>
    <row r="16" spans="1:15">
      <c r="A16" t="str">
        <v>1.5.2</v>
      </c>
      <c r="B16" t="str">
        <v>Vestibule</v>
      </c>
      <c r="C16">
        <v>4</v>
      </c>
      <c r="D16">
        <v>50</v>
      </c>
      <c r="E16">
        <v>200</v>
      </c>
      <c r="F16">
        <v>0</v>
      </c>
      <c r="G16">
        <v>0</v>
      </c>
      <c r="H16" t="str">
        <v>connecting classrooms/RRs</v>
      </c>
      <c r="I16" t="s">
        <v>42</v>
      </c>
      <c r="J16"/>
      <c r="K16" s="75"/>
      <c r="L16" t="str" cm="1">
        <f t="array" ref="L16">findcolor(K16,"rgb")</f>
        <v>255, 255, 255</v>
      </c>
      <c r="M16" s="147" t="s">
        <v>182</v>
      </c>
    </row>
    <row r="17" spans="1:1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L17" t="str" cm="1">
        <f t="array" ref="L17">findcolor(K17,"rgb")</f>
        <v>255, 255, 255</v>
      </c>
      <c r="M17" s="147"/>
    </row>
    <row r="18" spans="1:13">
      <c r="A18" cm="1">
        <f t="array" ref="A18:H22">ProjectSheet!A29:H33</f>
        <v>2.1</v>
      </c>
      <c r="B18" t="str">
        <v>Art</v>
      </c>
      <c r="C18">
        <v>1</v>
      </c>
      <c r="D18">
        <v>1000</v>
      </c>
      <c r="E18">
        <v>1000</v>
      </c>
      <c r="F18">
        <v>0</v>
      </c>
      <c r="G18">
        <v>0</v>
      </c>
      <c r="H18" t="str">
        <v>Relocated from Raymund, similar size</v>
      </c>
      <c r="I18">
        <v>1.4</v>
      </c>
      <c r="J18"/>
      <c r="K18" s="76"/>
      <c r="L18" t="str" cm="1">
        <f t="array" ref="L18">findcolor(K18,"rgb")</f>
        <v>255, 255, 255</v>
      </c>
      <c r="M18" s="147"/>
    </row>
    <row r="19" spans="1:13">
      <c r="A19" t="str">
        <v>2.1.1</v>
      </c>
      <c r="B19" t="str">
        <v>Storage</v>
      </c>
      <c r="C19">
        <v>1</v>
      </c>
      <c r="D19">
        <v>250</v>
      </c>
      <c r="E19">
        <v>250</v>
      </c>
      <c r="F19">
        <v>0</v>
      </c>
      <c r="G19">
        <v>0</v>
      </c>
      <c r="H19">
        <v>0</v>
      </c>
      <c r="I19">
        <v>2.1</v>
      </c>
      <c r="J19"/>
      <c r="K19" s="76"/>
      <c r="L19" t="str" cm="1">
        <f t="array" ref="L19">findcolor(K19,"rgb")</f>
        <v>255, 255, 255</v>
      </c>
      <c r="M19" s="147" t="s">
        <v>182</v>
      </c>
    </row>
    <row r="20" spans="1:13">
      <c r="A20" t="str">
        <v>2.1.2</v>
      </c>
      <c r="B20" t="str">
        <v>Student Restroom</v>
      </c>
      <c r="C20">
        <v>1</v>
      </c>
      <c r="D20">
        <v>50</v>
      </c>
      <c r="E20">
        <v>50</v>
      </c>
      <c r="F20">
        <v>0</v>
      </c>
      <c r="G20">
        <v>0</v>
      </c>
      <c r="H20">
        <v>0</v>
      </c>
      <c r="I20">
        <v>2.1</v>
      </c>
      <c r="J20"/>
      <c r="K20" s="76"/>
      <c r="L20" t="str" cm="1">
        <f t="array" ref="L20">findcolor(K20,"rgb")</f>
        <v>255, 255, 255</v>
      </c>
      <c r="M20" s="147" t="s">
        <v>182</v>
      </c>
    </row>
    <row r="21" spans="1:13">
      <c r="A21" t="str">
        <v>2.1.3</v>
      </c>
      <c r="B21" t="str">
        <v>Kiln</v>
      </c>
      <c r="C21">
        <v>1</v>
      </c>
      <c r="D21">
        <v>125</v>
      </c>
      <c r="E21">
        <v>125</v>
      </c>
      <c r="F21">
        <v>0</v>
      </c>
      <c r="G21">
        <v>0</v>
      </c>
      <c r="H21" t="str">
        <v>(1) kiln for LS</v>
      </c>
      <c r="I21">
        <v>2.1</v>
      </c>
      <c r="J21"/>
      <c r="K21" s="76"/>
      <c r="L21" t="str" cm="1">
        <f t="array" ref="L21">findcolor(K21,"rgb")</f>
        <v>255, 255, 255</v>
      </c>
      <c r="M21" s="147" t="s">
        <v>182</v>
      </c>
    </row>
    <row r="22" spans="1:1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/>
      <c r="L22" t="str" cm="1">
        <f t="array" ref="L22">findcolor(K22,"rgb")</f>
        <v>255, 255, 255</v>
      </c>
      <c r="M22" s="147"/>
    </row>
    <row r="23" spans="1:13" ht="30">
      <c r="A23" cm="1">
        <f t="array" ref="A23:H31">ProjectSheet!A37:H45</f>
        <v>3.1</v>
      </c>
      <c r="B23" s="5" t="str">
        <v>Spanish/Language</v>
      </c>
      <c r="C23">
        <v>2</v>
      </c>
      <c r="D23">
        <v>650</v>
      </c>
      <c r="E23">
        <v>1300</v>
      </c>
      <c r="F23">
        <v>0</v>
      </c>
      <c r="G23">
        <v>0</v>
      </c>
      <c r="H23" s="5" t="str">
        <v>Relocated from Raymund/Manning, existing 500 SF is too small</v>
      </c>
      <c r="I23" s="5">
        <v>1.5</v>
      </c>
      <c r="K23" s="77"/>
      <c r="L23" t="str" cm="1">
        <f t="array" ref="L23">findcolor(K23,"rgb")</f>
        <v>255, 255, 255</v>
      </c>
      <c r="M23" s="147"/>
    </row>
    <row r="24" spans="1:13">
      <c r="A24">
        <v>3.2</v>
      </c>
      <c r="B24" s="5" t="str">
        <v>Block Room</v>
      </c>
      <c r="C24">
        <v>0</v>
      </c>
      <c r="D24">
        <v>500</v>
      </c>
      <c r="E24">
        <v>0</v>
      </c>
      <c r="F24">
        <v>0</v>
      </c>
      <c r="G24">
        <v>0</v>
      </c>
      <c r="H24" s="5" t="str">
        <v>co-located in common area</v>
      </c>
      <c r="I24" s="5">
        <v>3.1</v>
      </c>
      <c r="K24" s="77"/>
      <c r="L24" t="str" cm="1">
        <f t="array" ref="L24">findcolor(K24,"rgb")</f>
        <v>255, 255, 255</v>
      </c>
      <c r="M24" s="147"/>
    </row>
    <row r="25" spans="1:13">
      <c r="A25">
        <v>3.3</v>
      </c>
      <c r="B25" s="5" t="str">
        <v>Student Restroom</v>
      </c>
      <c r="C25">
        <v>2</v>
      </c>
      <c r="D25">
        <v>50</v>
      </c>
      <c r="E25">
        <v>100</v>
      </c>
      <c r="F25">
        <v>0</v>
      </c>
      <c r="G25">
        <v>0</v>
      </c>
      <c r="H25" s="5" t="str">
        <v>shared amongst specials, if adjacency allows</v>
      </c>
      <c r="I25" s="5">
        <v>3.1</v>
      </c>
      <c r="K25" s="77"/>
      <c r="L25" t="str" cm="1">
        <f t="array" ref="L25">findcolor(K25,"rgb")</f>
        <v>255, 255, 255</v>
      </c>
      <c r="M25" s="147"/>
    </row>
    <row r="26" spans="1:13" ht="30">
      <c r="A26">
        <v>3.4</v>
      </c>
      <c r="B26" s="5" t="str">
        <v>Life Skills</v>
      </c>
      <c r="C26">
        <v>0</v>
      </c>
      <c r="D26">
        <v>500</v>
      </c>
      <c r="E26">
        <v>0</v>
      </c>
      <c r="F26">
        <v>0</v>
      </c>
      <c r="G26">
        <v>0</v>
      </c>
      <c r="H26" s="5" t="str">
        <v>kitchen, co-located with common area; want to be able to cook with children</v>
      </c>
      <c r="I26" s="5">
        <v>1.3</v>
      </c>
      <c r="K26" s="77"/>
      <c r="L26" t="str" cm="1">
        <f t="array" ref="L26">findcolor(K26,"rgb")</f>
        <v>255, 255, 255</v>
      </c>
      <c r="M26" s="147"/>
    </row>
    <row r="27" spans="1:13">
      <c r="A27">
        <v>3.5</v>
      </c>
      <c r="B27" s="5" t="str">
        <v>STEAM</v>
      </c>
      <c r="C27">
        <v>1</v>
      </c>
      <c r="D27">
        <v>1100</v>
      </c>
      <c r="E27">
        <v>1100</v>
      </c>
      <c r="F27">
        <v>0</v>
      </c>
      <c r="G27">
        <v>0</v>
      </c>
      <c r="H27" s="5" t="str">
        <v>Spark Lab; (4)th Alpha location match that SF</v>
      </c>
      <c r="I27" s="5">
        <v>1.2</v>
      </c>
      <c r="K27" s="77"/>
      <c r="L27" t="str" cm="1">
        <f t="array" ref="L27">findcolor(K27,"rgb")</f>
        <v>255, 255, 255</v>
      </c>
      <c r="M27" s="147"/>
    </row>
    <row r="28" spans="1:13">
      <c r="A28" t="str">
        <v>3.5.1</v>
      </c>
      <c r="B28" s="5" t="str">
        <v>Storage</v>
      </c>
      <c r="C28">
        <v>1</v>
      </c>
      <c r="D28">
        <v>150</v>
      </c>
      <c r="E28">
        <v>150</v>
      </c>
      <c r="F28">
        <v>0</v>
      </c>
      <c r="G28">
        <v>0</v>
      </c>
      <c r="H28" s="5">
        <v>0</v>
      </c>
      <c r="I28" s="5">
        <v>3.5</v>
      </c>
      <c r="K28" s="77"/>
      <c r="L28" t="str" cm="1">
        <f t="array" ref="L28">findcolor(K28,"rgb")</f>
        <v>255, 255, 255</v>
      </c>
      <c r="M28" s="147" t="s">
        <v>182</v>
      </c>
    </row>
    <row r="29" spans="1:13">
      <c r="A29">
        <v>3.6</v>
      </c>
      <c r="B29" s="5" t="str">
        <v>Makerspace</v>
      </c>
      <c r="C29">
        <v>1</v>
      </c>
      <c r="D29">
        <v>650</v>
      </c>
      <c r="E29">
        <v>650</v>
      </c>
      <c r="F29">
        <v>0</v>
      </c>
      <c r="G29">
        <v>0</v>
      </c>
      <c r="H29" s="5">
        <v>0</v>
      </c>
      <c r="I29" s="5">
        <v>1.5</v>
      </c>
      <c r="K29" s="77"/>
      <c r="L29" t="str" cm="1">
        <f t="array" ref="L29">findcolor(K29,"rgb")</f>
        <v>255, 255, 255</v>
      </c>
      <c r="M29" s="147"/>
    </row>
    <row r="30" spans="1:13">
      <c r="A30" t="str">
        <v>3.6.1</v>
      </c>
      <c r="B30" s="5" t="str">
        <v>Storage</v>
      </c>
      <c r="C30">
        <v>1</v>
      </c>
      <c r="D30">
        <v>150</v>
      </c>
      <c r="E30">
        <v>150</v>
      </c>
      <c r="F30">
        <v>0</v>
      </c>
      <c r="G30">
        <v>0</v>
      </c>
      <c r="H30" s="5">
        <v>0</v>
      </c>
      <c r="I30" s="5">
        <v>3.6</v>
      </c>
      <c r="K30" s="77"/>
      <c r="L30" t="str" cm="1">
        <f t="array" ref="L30">findcolor(K30,"rgb")</f>
        <v>255, 255, 255</v>
      </c>
      <c r="M30" s="147" t="s">
        <v>182</v>
      </c>
    </row>
    <row r="31" spans="1:13">
      <c r="A31">
        <v>0</v>
      </c>
      <c r="B31" s="5">
        <v>0</v>
      </c>
      <c r="C31">
        <v>0</v>
      </c>
      <c r="D31">
        <v>0</v>
      </c>
      <c r="E31">
        <v>0</v>
      </c>
      <c r="F31">
        <v>0</v>
      </c>
      <c r="G31">
        <v>0</v>
      </c>
      <c r="H31" s="5">
        <v>0</v>
      </c>
      <c r="I31" s="5">
        <v>0</v>
      </c>
      <c r="L31" t="str" cm="1">
        <f t="array" ref="L31">findcolor(K31,"rgb")</f>
        <v>255, 255, 255</v>
      </c>
      <c r="M31" s="147"/>
    </row>
    <row r="32" spans="1:13" ht="30">
      <c r="A32" cm="1">
        <f t="array" ref="A32:H37">ProjectSheet!A50:H55</f>
        <v>4.0999999999999996</v>
      </c>
      <c r="B32" s="5" t="str">
        <v>Common Area</v>
      </c>
      <c r="C32">
        <v>5</v>
      </c>
      <c r="D32">
        <v>775</v>
      </c>
      <c r="E32">
        <v>3875</v>
      </c>
      <c r="F32">
        <v>0</v>
      </c>
      <c r="G32">
        <v>0</v>
      </c>
      <c r="H32" s="5" t="str">
        <v>(1) per grade level; possibly interconnected to create central atrium; Pull out wet spaces?</v>
      </c>
      <c r="I32" s="5">
        <v>1.1000000000000001</v>
      </c>
      <c r="K32" s="78"/>
      <c r="L32" t="str" cm="1">
        <f t="array" ref="L32">findcolor(K32,"rgb")</f>
        <v>255, 255, 255</v>
      </c>
      <c r="M32" s="147"/>
    </row>
    <row r="33" spans="1:13">
      <c r="A33">
        <v>4.2</v>
      </c>
      <c r="B33" s="5" t="str">
        <v>Grade Level Storage</v>
      </c>
      <c r="C33">
        <v>5</v>
      </c>
      <c r="D33">
        <v>250</v>
      </c>
      <c r="E33">
        <v>1250</v>
      </c>
      <c r="F33">
        <v>0</v>
      </c>
      <c r="G33">
        <v>0</v>
      </c>
      <c r="H33" s="5" t="str">
        <v>(1) per grade level</v>
      </c>
      <c r="I33" s="5">
        <v>1.2</v>
      </c>
      <c r="K33" s="78"/>
      <c r="L33" t="str" cm="1">
        <f t="array" ref="L33">findcolor(K33,"rgb")</f>
        <v>255, 255, 255</v>
      </c>
      <c r="M33" s="147"/>
    </row>
    <row r="34" spans="1:13">
      <c r="A34">
        <v>4.3</v>
      </c>
      <c r="B34" s="5" t="str">
        <v>Teacher Planning/Workroom</v>
      </c>
      <c r="C34">
        <v>5</v>
      </c>
      <c r="D34">
        <v>300</v>
      </c>
      <c r="E34">
        <v>1500</v>
      </c>
      <c r="F34">
        <v>0</v>
      </c>
      <c r="G34">
        <v>0</v>
      </c>
      <c r="H34" s="5" t="str">
        <v>(1) per grade level; like existing Jack&amp;Jill connection</v>
      </c>
      <c r="I34" s="5">
        <v>1.3</v>
      </c>
      <c r="K34" s="78"/>
      <c r="L34" t="str" cm="1">
        <f t="array" ref="L34">findcolor(K34,"rgb")</f>
        <v>255, 255, 255</v>
      </c>
      <c r="M34" s="147"/>
    </row>
    <row r="35" spans="1:13">
      <c r="A35">
        <v>4.4000000000000004</v>
      </c>
      <c r="B35" s="5" t="str">
        <v>Community Collab</v>
      </c>
      <c r="C35">
        <v>0</v>
      </c>
      <c r="D35">
        <v>1500</v>
      </c>
      <c r="E35">
        <v>0</v>
      </c>
      <c r="F35">
        <v>0</v>
      </c>
      <c r="G35">
        <v>0</v>
      </c>
      <c r="H35" s="5">
        <v>0</v>
      </c>
      <c r="I35" s="5">
        <v>1.4</v>
      </c>
      <c r="K35" s="78"/>
      <c r="L35" t="str" cm="1">
        <f t="array" ref="L35">findcolor(K35,"rgb")</f>
        <v>255, 255, 255</v>
      </c>
      <c r="M35" s="147"/>
    </row>
    <row r="36" spans="1:13" ht="45">
      <c r="A36">
        <v>4.5</v>
      </c>
      <c r="B36" s="5" t="str">
        <v>Multipurpose Room</v>
      </c>
      <c r="C36">
        <v>1</v>
      </c>
      <c r="D36">
        <v>1200</v>
      </c>
      <c r="E36">
        <v>1200</v>
      </c>
      <c r="F36">
        <v>0</v>
      </c>
      <c r="G36">
        <v>0</v>
      </c>
      <c r="H36" s="5" t="str">
        <v>possible operable partition to split into two classrooms if needed; may increase in size to consider the LS classroom module</v>
      </c>
      <c r="I36" s="5">
        <v>4.3</v>
      </c>
      <c r="K36" s="78"/>
      <c r="L36" t="str" cm="1">
        <f t="array" ref="L36">findcolor(K36,"rgb")</f>
        <v>255, 255, 255</v>
      </c>
      <c r="M36" s="147"/>
    </row>
    <row r="37" spans="1:13">
      <c r="A37">
        <v>0</v>
      </c>
      <c r="B37" s="5">
        <v>0</v>
      </c>
      <c r="C37">
        <v>0</v>
      </c>
      <c r="D37">
        <v>0</v>
      </c>
      <c r="E37">
        <v>0</v>
      </c>
      <c r="F37">
        <v>0</v>
      </c>
      <c r="G37">
        <v>0</v>
      </c>
      <c r="H37" s="5">
        <v>0</v>
      </c>
      <c r="I37" s="5">
        <v>0</v>
      </c>
      <c r="L37" t="str" cm="1">
        <f t="array" ref="L37">findcolor(K37,"rgb")</f>
        <v>255, 255, 255</v>
      </c>
      <c r="M37" s="147"/>
    </row>
    <row r="38" spans="1:13">
      <c r="A38" cm="1">
        <f t="array" ref="A38:H41">ProjectSheet!A61:H64</f>
        <v>5.0999999999999996</v>
      </c>
      <c r="B38" s="5" t="str">
        <v>Music</v>
      </c>
      <c r="C38">
        <v>1</v>
      </c>
      <c r="D38">
        <v>1000</v>
      </c>
      <c r="E38">
        <v>1000</v>
      </c>
      <c r="F38">
        <v>0</v>
      </c>
      <c r="G38">
        <v>0</v>
      </c>
      <c r="H38" s="5" t="str">
        <v>Relocated from Raymund, similar size</v>
      </c>
      <c r="I38" s="5">
        <v>1.1000000000000001</v>
      </c>
      <c r="K38" s="79"/>
      <c r="L38" t="str" cm="1">
        <f t="array" ref="L38">findcolor(K38,"rgb")</f>
        <v>255, 255, 255</v>
      </c>
      <c r="M38" s="147"/>
    </row>
    <row r="39" spans="1:13">
      <c r="A39" t="str">
        <v>5.1.1</v>
      </c>
      <c r="B39" s="5" t="str">
        <v>Storage</v>
      </c>
      <c r="C39">
        <v>1</v>
      </c>
      <c r="D39">
        <v>300</v>
      </c>
      <c r="E39">
        <v>300</v>
      </c>
      <c r="F39">
        <v>0</v>
      </c>
      <c r="G39">
        <v>0</v>
      </c>
      <c r="H39" s="5">
        <v>0</v>
      </c>
      <c r="I39" s="5">
        <v>5.0999999999999996</v>
      </c>
      <c r="K39" s="79"/>
      <c r="L39" t="str" cm="1">
        <f t="array" ref="L39">findcolor(K39,"rgb")</f>
        <v>255, 255, 255</v>
      </c>
      <c r="M39" s="147" t="s">
        <v>182</v>
      </c>
    </row>
    <row r="40" spans="1:13">
      <c r="A40" t="str">
        <v>5.1.2</v>
      </c>
      <c r="B40" s="5" t="str">
        <v>Student Restroom</v>
      </c>
      <c r="C40">
        <v>1</v>
      </c>
      <c r="D40">
        <v>50</v>
      </c>
      <c r="E40">
        <v>50</v>
      </c>
      <c r="F40">
        <v>0</v>
      </c>
      <c r="G40">
        <v>0</v>
      </c>
      <c r="H40" s="5">
        <v>0</v>
      </c>
      <c r="I40" s="5">
        <v>5.0999999999999996</v>
      </c>
      <c r="K40" s="79"/>
      <c r="L40" t="str" cm="1">
        <f t="array" ref="L40">findcolor(K40,"rgb")</f>
        <v>255, 255, 255</v>
      </c>
      <c r="M40" s="147" t="s">
        <v>182</v>
      </c>
    </row>
    <row r="41" spans="1:13">
      <c r="A41">
        <v>0</v>
      </c>
      <c r="B41" s="5">
        <v>0</v>
      </c>
      <c r="C41">
        <v>0</v>
      </c>
      <c r="D41">
        <v>0</v>
      </c>
      <c r="E41">
        <v>0</v>
      </c>
      <c r="F41">
        <v>0</v>
      </c>
      <c r="G41">
        <v>0</v>
      </c>
      <c r="H41" s="5">
        <v>0</v>
      </c>
      <c r="I41" s="5">
        <v>0</v>
      </c>
      <c r="L41" t="str" cm="1">
        <f t="array" ref="L41">findcolor(K41,"rgb")</f>
        <v>255, 255, 255</v>
      </c>
      <c r="M41" s="147"/>
    </row>
    <row r="42" spans="1:13" ht="30">
      <c r="A42" cm="1">
        <f t="array" ref="A42:H46">ProjectSheet!A69:H73</f>
        <v>6.1</v>
      </c>
      <c r="B42" s="5" t="str">
        <v>Mini-Gym</v>
      </c>
      <c r="C42">
        <v>1</v>
      </c>
      <c r="D42">
        <v>4000</v>
      </c>
      <c r="E42">
        <v>4000</v>
      </c>
      <c r="F42">
        <v>0</v>
      </c>
      <c r="G42">
        <v>0</v>
      </c>
      <c r="H42" s="5" t="str">
        <v>previous mini-gym was small, ceiling was low; would like to fit a grade level</v>
      </c>
      <c r="I42" s="5">
        <v>4.0999999999999996</v>
      </c>
      <c r="J42" s="5">
        <v>1</v>
      </c>
      <c r="K42" s="80"/>
      <c r="L42" t="str" cm="1">
        <f t="array" ref="L42">findcolor(K42,"rgb")</f>
        <v>255, 255, 255</v>
      </c>
      <c r="M42" s="147"/>
    </row>
    <row r="43" spans="1:13">
      <c r="A43" t="str">
        <v>6.1.1</v>
      </c>
      <c r="B43" s="5" t="str">
        <v>Storage</v>
      </c>
      <c r="C43">
        <v>1</v>
      </c>
      <c r="D43">
        <v>400</v>
      </c>
      <c r="E43">
        <v>400</v>
      </c>
      <c r="F43">
        <v>0</v>
      </c>
      <c r="G43">
        <v>0</v>
      </c>
      <c r="H43" s="5">
        <v>0</v>
      </c>
      <c r="I43" s="5">
        <v>6.1</v>
      </c>
      <c r="J43" s="5">
        <v>1</v>
      </c>
      <c r="K43" s="80"/>
      <c r="L43" t="str" cm="1">
        <f t="array" ref="L43">findcolor(K43,"rgb")</f>
        <v>255, 255, 255</v>
      </c>
      <c r="M43" s="147" t="s">
        <v>182</v>
      </c>
    </row>
    <row r="44" spans="1:13">
      <c r="A44" t="str">
        <v>6.1.2</v>
      </c>
      <c r="B44" s="5" t="str">
        <v>Office</v>
      </c>
      <c r="C44">
        <v>4</v>
      </c>
      <c r="D44">
        <v>125</v>
      </c>
      <c r="E44">
        <v>500</v>
      </c>
      <c r="F44">
        <v>0</v>
      </c>
      <c r="G44">
        <v>0</v>
      </c>
      <c r="H44" s="5" t="str">
        <v>large space for all (4), or (2) for (2)</v>
      </c>
      <c r="I44" s="5">
        <v>6.1</v>
      </c>
      <c r="J44" s="5">
        <v>1</v>
      </c>
      <c r="K44" s="80"/>
      <c r="L44" t="str" cm="1">
        <f t="array" ref="L44">findcolor(K44,"rgb")</f>
        <v>255, 255, 255</v>
      </c>
      <c r="M44" s="147"/>
    </row>
    <row r="45" spans="1:13">
      <c r="A45" t="str">
        <v>6.1.3</v>
      </c>
      <c r="B45" s="5" t="str">
        <v>Storage - Aux Programs</v>
      </c>
      <c r="C45">
        <v>1</v>
      </c>
      <c r="D45">
        <v>400</v>
      </c>
      <c r="E45">
        <v>400</v>
      </c>
      <c r="F45">
        <v>0</v>
      </c>
      <c r="G45">
        <v>0</v>
      </c>
      <c r="H45" s="5" t="str">
        <v>mostly function in LS/ES classrooms or mini-gym</v>
      </c>
      <c r="I45" s="5">
        <v>6.1</v>
      </c>
      <c r="K45" s="80"/>
      <c r="L45" t="str" cm="1">
        <f t="array" ref="L45">findcolor(K45,"rgb")</f>
        <v>255, 255, 255</v>
      </c>
      <c r="M45" s="147" t="s">
        <v>182</v>
      </c>
    </row>
    <row r="46" spans="1:13">
      <c r="A46">
        <v>0</v>
      </c>
      <c r="B46" s="5">
        <v>0</v>
      </c>
      <c r="C46">
        <v>0</v>
      </c>
      <c r="D46">
        <v>0</v>
      </c>
      <c r="E46">
        <v>0</v>
      </c>
      <c r="F46">
        <v>0</v>
      </c>
      <c r="G46">
        <v>0</v>
      </c>
      <c r="H46" s="5">
        <v>0</v>
      </c>
      <c r="I46" s="5">
        <v>0</v>
      </c>
      <c r="L46" t="str" cm="1">
        <f t="array" ref="L46">findcolor(K46,"rgb")</f>
        <v>255, 255, 255</v>
      </c>
      <c r="M46" s="147"/>
    </row>
    <row r="47" spans="1:13">
      <c r="A47" cm="1">
        <f t="array" ref="A47:H70">ProjectSheet!A78:H101</f>
        <v>7.1</v>
      </c>
      <c r="B47" s="5" t="str">
        <v>General Admin Reception</v>
      </c>
      <c r="C47">
        <v>1</v>
      </c>
      <c r="D47">
        <v>17</v>
      </c>
      <c r="E47">
        <v>298</v>
      </c>
      <c r="F47">
        <v>0</v>
      </c>
      <c r="G47">
        <v>0</v>
      </c>
      <c r="H47" s="5" t="str">
        <v>5% cap</v>
      </c>
      <c r="I47" s="5">
        <v>4.0999999999999996</v>
      </c>
      <c r="J47" s="5">
        <v>1</v>
      </c>
      <c r="K47" s="81"/>
      <c r="L47" t="str" cm="1">
        <f t="array" ref="L47">findcolor(K47,"rgb")</f>
        <v>255, 255, 255</v>
      </c>
      <c r="M47" s="147"/>
    </row>
    <row r="48" spans="1:13">
      <c r="A48" t="str">
        <v>7.1.1</v>
      </c>
      <c r="B48" s="5" t="str">
        <v>Administrative Storage</v>
      </c>
      <c r="C48">
        <v>1</v>
      </c>
      <c r="D48">
        <v>100</v>
      </c>
      <c r="E48">
        <v>100</v>
      </c>
      <c r="F48">
        <v>0</v>
      </c>
      <c r="G48">
        <v>0</v>
      </c>
      <c r="H48" s="5">
        <v>0</v>
      </c>
      <c r="I48" s="5">
        <v>7.1</v>
      </c>
      <c r="J48" s="5">
        <v>1</v>
      </c>
      <c r="K48" s="81"/>
      <c r="L48" t="str" cm="1">
        <f t="array" ref="L48">findcolor(K48,"rgb")</f>
        <v>255, 255, 255</v>
      </c>
      <c r="M48" s="147"/>
    </row>
    <row r="49" spans="1:13">
      <c r="A49">
        <v>7.2</v>
      </c>
      <c r="B49" s="5" t="str">
        <v>LS Head</v>
      </c>
      <c r="C49">
        <v>1</v>
      </c>
      <c r="D49">
        <v>200</v>
      </c>
      <c r="E49">
        <v>200</v>
      </c>
      <c r="F49">
        <v>0</v>
      </c>
      <c r="G49">
        <v>0</v>
      </c>
      <c r="H49" s="5" t="str">
        <v>(8) max for a meeting</v>
      </c>
      <c r="I49" s="5">
        <v>7.3</v>
      </c>
      <c r="J49" s="5">
        <v>1</v>
      </c>
      <c r="K49" s="81"/>
      <c r="L49" t="str" cm="1">
        <f t="array" ref="L49">findcolor(K49,"rgb")</f>
        <v>255, 255, 255</v>
      </c>
      <c r="M49" s="147"/>
    </row>
    <row r="50" spans="1:13">
      <c r="A50">
        <v>7.3</v>
      </c>
      <c r="B50" s="5" t="str">
        <v>Office</v>
      </c>
      <c r="C50">
        <v>4</v>
      </c>
      <c r="D50">
        <v>125</v>
      </c>
      <c r="E50">
        <v>500</v>
      </c>
      <c r="F50">
        <v>0</v>
      </c>
      <c r="G50">
        <v>0</v>
      </c>
      <c r="H50" s="5" t="str">
        <v>LS administration</v>
      </c>
      <c r="I50" s="5">
        <v>7.4</v>
      </c>
      <c r="J50" s="5">
        <v>1</v>
      </c>
      <c r="K50" s="81"/>
      <c r="L50" t="str" cm="1">
        <f t="array" ref="L50">findcolor(K50,"rgb")</f>
        <v>255, 255, 255</v>
      </c>
      <c r="M50" s="147"/>
    </row>
    <row r="51" spans="1:13">
      <c r="A51">
        <v>7.4</v>
      </c>
      <c r="B51" s="5" t="str">
        <v>Conference Room</v>
      </c>
      <c r="C51">
        <v>1</v>
      </c>
      <c r="D51">
        <v>250</v>
      </c>
      <c r="E51">
        <v>250</v>
      </c>
      <c r="F51">
        <v>0</v>
      </c>
      <c r="G51">
        <v>0</v>
      </c>
      <c r="H51" s="5" t="str">
        <v>slightly larger than existing</v>
      </c>
      <c r="I51" s="5">
        <v>7.1</v>
      </c>
      <c r="J51" s="5">
        <v>1</v>
      </c>
      <c r="K51" s="81"/>
      <c r="L51" t="str" cm="1">
        <f t="array" ref="L51">findcolor(K51,"rgb")</f>
        <v>255, 255, 255</v>
      </c>
      <c r="M51" s="147"/>
    </row>
    <row r="52" spans="1:13">
      <c r="A52">
        <v>7.5</v>
      </c>
      <c r="B52" s="5" t="str">
        <v>LS Counselor</v>
      </c>
      <c r="C52">
        <v>2</v>
      </c>
      <c r="D52">
        <v>175</v>
      </c>
      <c r="E52">
        <v>350</v>
      </c>
      <c r="F52">
        <v>0</v>
      </c>
      <c r="G52">
        <v>0</v>
      </c>
      <c r="H52" s="5" t="str">
        <v>Manning space is ~500sf</v>
      </c>
      <c r="I52" s="5">
        <v>7.2</v>
      </c>
      <c r="J52" s="5">
        <v>1</v>
      </c>
      <c r="K52" s="81"/>
      <c r="L52" t="str" cm="1">
        <f t="array" ref="L52">findcolor(K52,"rgb")</f>
        <v>255, 255, 255</v>
      </c>
      <c r="M52" s="147"/>
    </row>
    <row r="53" spans="1:13" ht="30">
      <c r="A53" t="str">
        <v>7.5.1</v>
      </c>
      <c r="B53" s="5" t="str">
        <v>Resource</v>
      </c>
      <c r="C53">
        <v>1</v>
      </c>
      <c r="D53">
        <v>500</v>
      </c>
      <c r="E53">
        <v>500</v>
      </c>
      <c r="F53">
        <v>0</v>
      </c>
      <c r="G53">
        <v>0</v>
      </c>
      <c r="H53" s="5" t="str">
        <v>go as an entire class, she will go get students one-on-one; more central location for teachers to reduce travel time</v>
      </c>
      <c r="I53" s="5">
        <v>7.5</v>
      </c>
      <c r="J53" s="5">
        <v>1</v>
      </c>
      <c r="K53" s="81"/>
      <c r="L53" t="str" cm="1">
        <f t="array" ref="L53">findcolor(K53,"rgb")</f>
        <v>255, 255, 255</v>
      </c>
      <c r="M53" s="147" t="s">
        <v>182</v>
      </c>
    </row>
    <row r="54" spans="1:13">
      <c r="A54">
        <v>7.6</v>
      </c>
      <c r="B54" s="5" t="str">
        <v>Curriculum room</v>
      </c>
      <c r="C54">
        <v>1</v>
      </c>
      <c r="D54">
        <v>300</v>
      </c>
      <c r="E54">
        <v>300</v>
      </c>
      <c r="F54">
        <v>0</v>
      </c>
      <c r="G54">
        <v>0</v>
      </c>
      <c r="H54" s="5">
        <v>0</v>
      </c>
      <c r="I54" s="5">
        <v>4.3</v>
      </c>
      <c r="J54" s="5">
        <v>1</v>
      </c>
      <c r="K54" s="81"/>
      <c r="L54" t="str" cm="1">
        <f t="array" ref="L54">findcolor(K54,"rgb")</f>
        <v>255, 255, 255</v>
      </c>
      <c r="M54" s="147"/>
    </row>
    <row r="55" spans="1:13">
      <c r="A55">
        <v>7.7</v>
      </c>
      <c r="B55" s="5" t="str">
        <v>Staff Restroom</v>
      </c>
      <c r="C55">
        <v>2</v>
      </c>
      <c r="D55">
        <v>50</v>
      </c>
      <c r="E55">
        <v>100</v>
      </c>
      <c r="F55">
        <v>0</v>
      </c>
      <c r="G55">
        <v>0</v>
      </c>
      <c r="H55" s="5">
        <v>0</v>
      </c>
      <c r="I55" s="5">
        <v>7.6</v>
      </c>
      <c r="J55" s="5">
        <v>1</v>
      </c>
      <c r="K55" s="81"/>
      <c r="L55" t="str" cm="1">
        <f t="array" ref="L55">findcolor(K55,"rgb")</f>
        <v>255, 255, 255</v>
      </c>
      <c r="M55" s="147"/>
    </row>
    <row r="56" spans="1:13">
      <c r="A56">
        <v>7.8</v>
      </c>
      <c r="B56" s="5" t="str">
        <v>Workroom/Break</v>
      </c>
      <c r="C56">
        <v>1</v>
      </c>
      <c r="D56">
        <v>400</v>
      </c>
      <c r="E56">
        <v>400</v>
      </c>
      <c r="F56">
        <v>0</v>
      </c>
      <c r="G56">
        <v>0</v>
      </c>
      <c r="H56" s="5">
        <v>0</v>
      </c>
      <c r="I56" s="5">
        <v>7.7</v>
      </c>
      <c r="J56" s="5">
        <v>1</v>
      </c>
      <c r="K56" s="81"/>
      <c r="L56" t="str" cm="1">
        <f t="array" ref="L56">findcolor(K56,"rgb")</f>
        <v>255, 255, 255</v>
      </c>
      <c r="M56" s="147"/>
    </row>
    <row r="57" spans="1:13">
      <c r="A57" t="str">
        <v>7.8.1</v>
      </c>
      <c r="B57" s="5" t="str">
        <v>Wellness Room</v>
      </c>
      <c r="C57">
        <v>1</v>
      </c>
      <c r="D57">
        <v>120</v>
      </c>
      <c r="E57">
        <v>120</v>
      </c>
      <c r="F57">
        <v>0</v>
      </c>
      <c r="G57">
        <v>0</v>
      </c>
      <c r="H57" s="5">
        <v>0</v>
      </c>
      <c r="I57" s="5">
        <v>7.8</v>
      </c>
      <c r="J57" s="5">
        <v>1</v>
      </c>
      <c r="K57" s="81"/>
      <c r="L57" t="str" cm="1">
        <f t="array" ref="L57">findcolor(K57,"rgb")</f>
        <v>255, 255, 255</v>
      </c>
      <c r="M57" s="147"/>
    </row>
    <row r="58" spans="1:13" ht="45">
      <c r="A58">
        <v>7.9</v>
      </c>
      <c r="B58" s="5" t="str">
        <v>Clinic</v>
      </c>
      <c r="C58">
        <v>1</v>
      </c>
      <c r="D58">
        <v>500</v>
      </c>
      <c r="E58">
        <v>500</v>
      </c>
      <c r="F58">
        <v>0</v>
      </c>
      <c r="G58">
        <v>0</v>
      </c>
      <c r="H58" s="5" t="str">
        <v>Relocated from CC; existing 420sf; move to Lower School, keep centrally located; have both interior and exterior access</v>
      </c>
      <c r="I58" s="5">
        <v>1.1000000000000001</v>
      </c>
      <c r="J58" s="5">
        <v>1</v>
      </c>
      <c r="K58" s="81"/>
      <c r="L58" t="str" cm="1">
        <f t="array" ref="L58">findcolor(K58,"rgb")</f>
        <v>255, 255, 255</v>
      </c>
      <c r="M58" s="147"/>
    </row>
    <row r="59" spans="1:13">
      <c r="A59" t="str">
        <v>7.9.1</v>
      </c>
      <c r="B59" s="5" t="str">
        <v>Student Restroom</v>
      </c>
      <c r="C59">
        <v>1</v>
      </c>
      <c r="D59">
        <v>100</v>
      </c>
      <c r="E59">
        <v>100</v>
      </c>
      <c r="F59">
        <v>0</v>
      </c>
      <c r="G59">
        <v>0</v>
      </c>
      <c r="H59" s="5" t="str">
        <v>include shower</v>
      </c>
      <c r="I59" s="5">
        <v>7.9</v>
      </c>
      <c r="J59" s="5">
        <v>1</v>
      </c>
      <c r="K59" s="81"/>
      <c r="L59" t="str" cm="1">
        <f t="array" ref="L59">findcolor(K59,"rgb")</f>
        <v>255, 255, 255</v>
      </c>
      <c r="M59" s="147" t="s">
        <v>182</v>
      </c>
    </row>
    <row r="60" spans="1:13" ht="30">
      <c r="A60" t="str">
        <v>7.9.2</v>
      </c>
      <c r="B60" s="5" t="str">
        <v>Security Office</v>
      </c>
      <c r="C60">
        <v>1</v>
      </c>
      <c r="D60">
        <v>125</v>
      </c>
      <c r="E60">
        <v>125</v>
      </c>
      <c r="F60">
        <v>0</v>
      </c>
      <c r="G60">
        <v>0</v>
      </c>
      <c r="H60" s="5" t="str">
        <v>exterior access; works closely with the clinic; centrally located for fastest response time to any area of campus</v>
      </c>
      <c r="I60" s="5">
        <v>7.9</v>
      </c>
      <c r="J60" s="5">
        <v>1</v>
      </c>
      <c r="K60" s="81"/>
      <c r="L60" t="str" cm="1">
        <f t="array" ref="L60">findcolor(K60,"rgb")</f>
        <v>255, 255, 255</v>
      </c>
      <c r="M60" s="147"/>
    </row>
    <row r="61" spans="1:13">
      <c r="A61" s="141">
        <v>7.1</v>
      </c>
      <c r="B61" s="5" t="str">
        <v>CAE Workroom/Shared Resource</v>
      </c>
      <c r="C61">
        <v>1</v>
      </c>
      <c r="D61">
        <v>500</v>
      </c>
      <c r="E61">
        <v>500</v>
      </c>
      <c r="F61">
        <v>0</v>
      </c>
      <c r="G61">
        <v>0</v>
      </c>
      <c r="H61" s="5" t="str">
        <v>CAE; can be the same as 7.10</v>
      </c>
      <c r="I61" s="5">
        <v>1.2</v>
      </c>
      <c r="J61" s="5">
        <v>1</v>
      </c>
      <c r="K61" s="81"/>
      <c r="L61" t="str" cm="1">
        <f t="array" ref="L61">findcolor(K61,"rgb")</f>
        <v>255, 255, 255</v>
      </c>
      <c r="M61" s="147"/>
    </row>
    <row r="62" spans="1:13">
      <c r="A62" t="str">
        <v>7.10.1</v>
      </c>
      <c r="B62" s="5" t="str">
        <v>Office</v>
      </c>
      <c r="C62">
        <v>3</v>
      </c>
      <c r="D62">
        <v>125</v>
      </c>
      <c r="E62">
        <v>375</v>
      </c>
      <c r="F62">
        <v>0</v>
      </c>
      <c r="G62">
        <v>0</v>
      </c>
      <c r="H62" s="5" t="str">
        <v>CAE; Learning Specialists</v>
      </c>
      <c r="I62" s="142">
        <v>7.1</v>
      </c>
      <c r="J62" s="5">
        <v>1</v>
      </c>
      <c r="K62" s="81"/>
      <c r="L62" t="str" cm="1">
        <f t="array" ref="L62">findcolor(K62,"rgb")</f>
        <v>255, 255, 255</v>
      </c>
      <c r="M62" s="147"/>
    </row>
    <row r="63" spans="1:13">
      <c r="A63">
        <v>7.11</v>
      </c>
      <c r="B63" s="5" t="str">
        <v>Homework Lab</v>
      </c>
      <c r="C63">
        <v>0</v>
      </c>
      <c r="D63">
        <v>500</v>
      </c>
      <c r="E63">
        <v>0</v>
      </c>
      <c r="F63">
        <v>0</v>
      </c>
      <c r="G63">
        <v>0</v>
      </c>
      <c r="H63" s="5" t="str">
        <v>Can this be the CAE workroom/shared resource space?</v>
      </c>
      <c r="I63" s="5">
        <v>1.3</v>
      </c>
      <c r="K63" s="81"/>
      <c r="L63" t="str" cm="1">
        <f t="array" ref="L63">findcolor(K63,"rgb")</f>
        <v>255, 255, 255</v>
      </c>
      <c r="M63" s="147"/>
    </row>
    <row r="64" spans="1:13">
      <c r="A64" t="str">
        <v>7.11.1</v>
      </c>
      <c r="B64" s="5" t="str">
        <v xml:space="preserve">Tutoring </v>
      </c>
      <c r="C64">
        <v>6</v>
      </c>
      <c r="D64">
        <v>100</v>
      </c>
      <c r="E64">
        <v>600</v>
      </c>
      <c r="F64">
        <v>0</v>
      </c>
      <c r="G64">
        <v>0</v>
      </c>
      <c r="H64" s="5" t="str">
        <v>CAE; located adjacent to 7.11; Jennifer verified count</v>
      </c>
      <c r="I64" s="5">
        <v>7.11</v>
      </c>
      <c r="K64" s="81"/>
      <c r="L64" t="str" cm="1">
        <f t="array" ref="L64">findcolor(K64,"rgb")</f>
        <v>255, 255, 255</v>
      </c>
      <c r="M64" s="147"/>
    </row>
    <row r="65" spans="1:13" ht="30">
      <c r="A65">
        <v>7.12</v>
      </c>
      <c r="B65" s="5" t="str">
        <v>Speech</v>
      </c>
      <c r="C65">
        <v>2</v>
      </c>
      <c r="D65">
        <v>125</v>
      </c>
      <c r="E65">
        <v>250</v>
      </c>
      <c r="F65">
        <v>0</v>
      </c>
      <c r="G65">
        <v>0</v>
      </c>
      <c r="H65" s="5" t="str">
        <v>CAE; ES uses this next most. would like additional offices in ES</v>
      </c>
      <c r="I65" s="5">
        <v>1.1000000000000001</v>
      </c>
      <c r="K65" s="81"/>
      <c r="L65" t="str" cm="1">
        <f t="array" ref="L65">findcolor(K65,"rgb")</f>
        <v>255, 255, 255</v>
      </c>
      <c r="M65" s="147"/>
    </row>
    <row r="66" spans="1:13" ht="45">
      <c r="A66">
        <v>7.13</v>
      </c>
      <c r="B66" s="5" t="str">
        <v>OT</v>
      </c>
      <c r="C66">
        <v>1</v>
      </c>
      <c r="D66">
        <v>300</v>
      </c>
      <c r="E66">
        <v>300</v>
      </c>
      <c r="F66">
        <v>0</v>
      </c>
      <c r="G66">
        <v>0</v>
      </c>
      <c r="H66" s="5" t="str">
        <v>CAE; ES uses this the most; ideally (2) separate spaces for LS and ES, but could be smaller. would like additional space in ES</v>
      </c>
      <c r="I66" s="5">
        <v>1.2</v>
      </c>
      <c r="K66" s="81"/>
      <c r="L66" t="str" cm="1">
        <f t="array" ref="L66">findcolor(K66,"rgb")</f>
        <v>255, 255, 255</v>
      </c>
      <c r="M66" s="147"/>
    </row>
    <row r="67" spans="1:13" ht="21" customHeight="1">
      <c r="A67" t="str">
        <v>7.13.1</v>
      </c>
      <c r="B67" s="5" t="str">
        <v>Storage</v>
      </c>
      <c r="C67">
        <v>1</v>
      </c>
      <c r="D67">
        <v>100</v>
      </c>
      <c r="E67">
        <v>100</v>
      </c>
      <c r="F67">
        <v>0</v>
      </c>
      <c r="G67">
        <v>0</v>
      </c>
      <c r="H67" s="5" t="str">
        <v>CAE</v>
      </c>
      <c r="I67" s="5">
        <v>7.13</v>
      </c>
      <c r="K67" s="81"/>
      <c r="L67" t="str" cm="1">
        <f t="array" ref="L67">findcolor(K67,"rgb")</f>
        <v>255, 255, 255</v>
      </c>
      <c r="M67" s="147" t="s">
        <v>182</v>
      </c>
    </row>
    <row r="68" spans="1:13">
      <c r="A68" t="str">
        <v>7.13.2</v>
      </c>
      <c r="B68" s="5" t="str">
        <v>Student Restroom</v>
      </c>
      <c r="C68">
        <v>1</v>
      </c>
      <c r="D68">
        <v>50</v>
      </c>
      <c r="E68">
        <v>50</v>
      </c>
      <c r="F68">
        <v>0</v>
      </c>
      <c r="G68">
        <v>0</v>
      </c>
      <c r="H68" s="5" t="str">
        <v>CAE</v>
      </c>
      <c r="I68" s="5">
        <v>7.13</v>
      </c>
      <c r="K68" s="81"/>
      <c r="L68" t="str" cm="1">
        <f t="array" ref="L68">findcolor(K68,"rgb")</f>
        <v>255, 255, 255</v>
      </c>
      <c r="M68" s="147"/>
    </row>
    <row r="69" spans="1:13">
      <c r="A69">
        <v>7.14</v>
      </c>
      <c r="B69" s="5" t="str">
        <v>Reading Specialist</v>
      </c>
      <c r="C69">
        <v>1</v>
      </c>
      <c r="D69">
        <v>300</v>
      </c>
      <c r="E69">
        <v>300</v>
      </c>
      <c r="F69">
        <v>0</v>
      </c>
      <c r="G69">
        <v>0</v>
      </c>
      <c r="H69" s="5" t="str">
        <v>need a kidney table for 5-6 students and desk/storage</v>
      </c>
      <c r="I69" s="5">
        <v>1.2</v>
      </c>
      <c r="K69" s="81"/>
      <c r="L69" t="str" cm="1">
        <f t="array" ref="L69">findcolor(K69,"rgb")</f>
        <v>255, 255, 255</v>
      </c>
      <c r="M69" s="147"/>
    </row>
    <row r="70" spans="1:13">
      <c r="A70">
        <v>0</v>
      </c>
      <c r="B70" s="5">
        <v>0</v>
      </c>
      <c r="C70">
        <v>0</v>
      </c>
      <c r="D70">
        <v>0</v>
      </c>
      <c r="E70">
        <v>0</v>
      </c>
      <c r="F70">
        <v>0</v>
      </c>
      <c r="G70">
        <v>0</v>
      </c>
      <c r="H70" s="5">
        <v>0</v>
      </c>
      <c r="I70" s="5">
        <v>0</v>
      </c>
      <c r="L70" t="str" cm="1">
        <f t="array" ref="L70">findcolor(K70,"rgb")</f>
        <v>255, 255, 255</v>
      </c>
      <c r="M70" s="147"/>
    </row>
    <row r="71" spans="1:13" ht="30">
      <c r="A71" cm="1">
        <f t="array" ref="A71:H76">ProjectSheet!A112:H117</f>
        <v>9.1</v>
      </c>
      <c r="B71" s="5" t="str">
        <v>Open Stack</v>
      </c>
      <c r="C71">
        <v>1</v>
      </c>
      <c r="D71">
        <v>2000</v>
      </c>
      <c r="E71">
        <v>2000</v>
      </c>
      <c r="F71">
        <v>0</v>
      </c>
      <c r="G71">
        <v>0</v>
      </c>
      <c r="H71" s="5" t="str">
        <v>Relocated from CC; space for 20,000 book collection; existing used as library ~1200sf</v>
      </c>
      <c r="I71" s="5">
        <v>4.0999999999999996</v>
      </c>
      <c r="K71" s="137"/>
      <c r="L71" t="str" cm="1">
        <f t="array" ref="L71">findcolor(K71,"rgb")</f>
        <v>255, 255, 255</v>
      </c>
      <c r="M71" s="147"/>
    </row>
    <row r="72" spans="1:13">
      <c r="A72" t="str">
        <v>9.1.1</v>
      </c>
      <c r="B72" s="5" t="str">
        <v>Office</v>
      </c>
      <c r="C72">
        <v>1</v>
      </c>
      <c r="D72">
        <v>125</v>
      </c>
      <c r="E72">
        <v>125</v>
      </c>
      <c r="F72">
        <v>0</v>
      </c>
      <c r="G72">
        <v>0</v>
      </c>
      <c r="H72" s="5" t="str">
        <v>needs to be separate from processing due to volunteers</v>
      </c>
      <c r="I72" s="5">
        <v>9.1</v>
      </c>
      <c r="K72" s="137"/>
      <c r="L72" t="str" cm="1">
        <f t="array" ref="L72">findcolor(K72,"rgb")</f>
        <v>255, 255, 255</v>
      </c>
      <c r="M72" s="147" t="s">
        <v>182</v>
      </c>
    </row>
    <row r="73" spans="1:13" ht="30">
      <c r="A73" t="str">
        <v>9.1.2</v>
      </c>
      <c r="B73" s="5" t="str">
        <v>Tech Processing</v>
      </c>
      <c r="C73">
        <v>1</v>
      </c>
      <c r="D73">
        <v>250</v>
      </c>
      <c r="E73">
        <v>250</v>
      </c>
      <c r="F73">
        <v>0</v>
      </c>
      <c r="G73">
        <v>0</v>
      </c>
      <c r="H73" s="5" t="str">
        <v>match Raymund's relationship of circulation desk/tech processing/office</v>
      </c>
      <c r="I73" s="5">
        <v>9.1</v>
      </c>
      <c r="K73" s="137"/>
      <c r="L73" t="str" cm="1">
        <f t="array" ref="L73">findcolor(K73,"rgb")</f>
        <v>255, 255, 255</v>
      </c>
      <c r="M73" s="147" t="s">
        <v>182</v>
      </c>
    </row>
    <row r="74" spans="1:13">
      <c r="A74" t="str">
        <v>9.1.3</v>
      </c>
      <c r="B74" s="5" t="str">
        <v>Storage</v>
      </c>
      <c r="C74">
        <v>1</v>
      </c>
      <c r="D74">
        <v>150</v>
      </c>
      <c r="E74">
        <v>150</v>
      </c>
      <c r="F74">
        <v>0</v>
      </c>
      <c r="G74">
        <v>0</v>
      </c>
      <c r="H74" s="5">
        <v>0</v>
      </c>
      <c r="I74" s="5">
        <v>9.1</v>
      </c>
      <c r="K74" s="137"/>
      <c r="L74" t="str" cm="1">
        <f t="array" ref="L74">findcolor(K74,"rgb")</f>
        <v>255, 255, 255</v>
      </c>
      <c r="M74" s="147" t="s">
        <v>182</v>
      </c>
    </row>
    <row r="75" spans="1:13">
      <c r="A75" t="str">
        <v>9.1.4</v>
      </c>
      <c r="B75" s="5" t="str">
        <v>Student Restroom</v>
      </c>
      <c r="C75">
        <v>1</v>
      </c>
      <c r="D75">
        <v>50</v>
      </c>
      <c r="E75">
        <v>50</v>
      </c>
      <c r="F75">
        <v>0</v>
      </c>
      <c r="G75">
        <v>0</v>
      </c>
      <c r="H75" s="5">
        <v>0</v>
      </c>
      <c r="I75" s="5">
        <v>9.1</v>
      </c>
      <c r="K75" s="137"/>
      <c r="L75" t="str" cm="1">
        <f t="array" ref="L75">findcolor(K75,"rgb")</f>
        <v>255, 255, 255</v>
      </c>
      <c r="M75" s="147" t="s">
        <v>182</v>
      </c>
    </row>
    <row r="76" spans="1:13">
      <c r="A76">
        <v>0</v>
      </c>
      <c r="B76" s="5">
        <v>0</v>
      </c>
      <c r="C76">
        <v>0</v>
      </c>
      <c r="D76">
        <v>0</v>
      </c>
      <c r="E76">
        <v>0</v>
      </c>
      <c r="F76">
        <v>0</v>
      </c>
      <c r="G76">
        <v>0</v>
      </c>
      <c r="H76" s="5">
        <v>0</v>
      </c>
      <c r="I76" s="5">
        <v>0</v>
      </c>
      <c r="L76" t="str" cm="1">
        <f t="array" ref="L76">findcolor(K76,"rgb")</f>
        <v>255, 255, 255</v>
      </c>
      <c r="M76" s="147"/>
    </row>
    <row r="77" spans="1:13">
      <c r="A77" cm="1">
        <f t="array" ref="A77:H82">ProjectSheet!A123:H128</f>
        <v>8.1</v>
      </c>
      <c r="B77" s="5" t="str">
        <v>Custodial Closet</v>
      </c>
      <c r="C77">
        <v>4</v>
      </c>
      <c r="D77">
        <v>70</v>
      </c>
      <c r="E77">
        <v>280</v>
      </c>
      <c r="F77">
        <v>0</v>
      </c>
      <c r="G77">
        <v>0</v>
      </c>
      <c r="H77" s="5" t="str">
        <v xml:space="preserve">located max 150'; qty to be verified </v>
      </c>
      <c r="I77" s="5">
        <v>6.1</v>
      </c>
      <c r="K77" s="139"/>
      <c r="L77" t="str" cm="1">
        <f t="array" ref="L77">findcolor(K77,"rgb")</f>
        <v>255, 255, 255</v>
      </c>
      <c r="M77" s="147"/>
    </row>
    <row r="78" spans="1:13">
      <c r="A78">
        <v>8.1999999999999993</v>
      </c>
      <c r="B78" s="5" t="str">
        <v>Staff Restroom</v>
      </c>
      <c r="C78">
        <v>4</v>
      </c>
      <c r="D78">
        <v>50</v>
      </c>
      <c r="E78">
        <v>200</v>
      </c>
      <c r="F78">
        <v>0</v>
      </c>
      <c r="G78">
        <v>0</v>
      </c>
      <c r="H78" s="5" t="str">
        <v>(2) individual per floor</v>
      </c>
      <c r="I78" s="5">
        <v>7.1</v>
      </c>
      <c r="K78" s="139"/>
      <c r="L78" t="str" cm="1">
        <f t="array" ref="L78">findcolor(K78,"rgb")</f>
        <v>255, 255, 255</v>
      </c>
      <c r="M78" s="147"/>
    </row>
    <row r="79" spans="1:13">
      <c r="A79">
        <v>8.3000000000000007</v>
      </c>
      <c r="B79" s="5" t="str">
        <v>Student Restroom</v>
      </c>
      <c r="C79">
        <v>2</v>
      </c>
      <c r="D79">
        <v>50</v>
      </c>
      <c r="E79">
        <v>100</v>
      </c>
      <c r="F79">
        <v>0</v>
      </c>
      <c r="G79">
        <v>0</v>
      </c>
      <c r="H79" s="5" t="str">
        <v>outdoor adjacent to playground</v>
      </c>
      <c r="I79" s="5">
        <v>4.0999999999999996</v>
      </c>
      <c r="K79" s="139"/>
      <c r="L79" t="str" cm="1">
        <f t="array" ref="L79">findcolor(K79,"rgb")</f>
        <v>255, 255, 255</v>
      </c>
      <c r="M79" s="147"/>
    </row>
    <row r="80" spans="1:13">
      <c r="A80">
        <v>8.4</v>
      </c>
      <c r="B80" s="5" t="str">
        <v>Custodial Hub</v>
      </c>
      <c r="C80">
        <v>1</v>
      </c>
      <c r="D80">
        <v>250</v>
      </c>
      <c r="E80">
        <v>250</v>
      </c>
      <c r="F80">
        <v>0</v>
      </c>
      <c r="G80">
        <v>0</v>
      </c>
      <c r="H80" s="5" t="str">
        <v>1st floor location</v>
      </c>
      <c r="I80" s="5">
        <v>8.1</v>
      </c>
      <c r="J80" s="5">
        <v>1</v>
      </c>
      <c r="K80" s="139"/>
      <c r="L80" t="str" cm="1">
        <f t="array" ref="L80">findcolor(K80,"rgb")</f>
        <v>255, 255, 255</v>
      </c>
      <c r="M80" s="147"/>
    </row>
    <row r="81" spans="1:13">
      <c r="A81">
        <v>8.5</v>
      </c>
      <c r="B81" s="5" t="str">
        <v>Building Maintenance Storage</v>
      </c>
      <c r="C81">
        <v>2</v>
      </c>
      <c r="D81">
        <v>150</v>
      </c>
      <c r="E81">
        <v>300</v>
      </c>
      <c r="F81">
        <v>0</v>
      </c>
      <c r="G81">
        <v>0</v>
      </c>
      <c r="H81" s="5" t="str">
        <v>(1) per floor</v>
      </c>
      <c r="I81" s="5">
        <v>8.1</v>
      </c>
      <c r="J81" s="5">
        <v>1</v>
      </c>
      <c r="K81" s="139"/>
      <c r="L81" t="str" cm="1">
        <f t="array" ref="L81">findcolor(K81,"rgb")</f>
        <v>255, 255, 255</v>
      </c>
      <c r="M81" s="147" t="s">
        <v>182</v>
      </c>
    </row>
    <row r="82" spans="1:13">
      <c r="A82">
        <v>0</v>
      </c>
      <c r="B82" s="5">
        <v>0</v>
      </c>
      <c r="C82">
        <v>0</v>
      </c>
      <c r="D82">
        <v>0</v>
      </c>
      <c r="E82">
        <v>0</v>
      </c>
      <c r="F82">
        <v>0</v>
      </c>
      <c r="G82">
        <v>0</v>
      </c>
      <c r="H82" s="5">
        <v>0</v>
      </c>
      <c r="I82" s="5">
        <v>0</v>
      </c>
      <c r="L82" t="str" cm="1">
        <f t="array" ref="L82">findcolor(K82,"rgb")</f>
        <v>255, 255, 255</v>
      </c>
    </row>
  </sheetData>
  <phoneticPr fontId="4" type="noConversion"/>
  <dataValidations count="2">
    <dataValidation type="list" showInputMessage="1" showErrorMessage="1" sqref="O2 O4:O82" xr:uid="{B2A79F09-0114-4743-815C-9211FA0C672B}">
      <formula1>" ,1 to 1,2 to 1"</formula1>
    </dataValidation>
    <dataValidation type="list" showInputMessage="1" showErrorMessage="1" sqref="O3" xr:uid="{9225B1DA-69F5-40C6-8B33-963ADEEA5D88}">
      <formula1>"None,1 to 1,2 to 1"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8F5A7-A2DF-4539-B6F1-79F01BB5A056}">
  <dimension ref="A1:B88"/>
  <sheetViews>
    <sheetView tabSelected="1" workbookViewId="0">
      <selection activeCell="B2" sqref="B2"/>
    </sheetView>
  </sheetViews>
  <sheetFormatPr defaultRowHeight="15"/>
  <cols>
    <col min="1" max="1" width="30.140625" bestFit="1" customWidth="1"/>
    <col min="2" max="2" width="27.140625" bestFit="1" customWidth="1"/>
    <col min="3" max="3" width="12.5703125" bestFit="1" customWidth="1"/>
    <col min="4" max="4" width="11" bestFit="1" customWidth="1"/>
  </cols>
  <sheetData>
    <row r="1" spans="1:2">
      <c r="A1" t="s">
        <v>184</v>
      </c>
      <c r="B1" t="str">
        <f>ProjectSheet!B1</f>
        <v>Lower School Concept Design</v>
      </c>
    </row>
    <row r="2" spans="1:2">
      <c r="A2" t="s">
        <v>185</v>
      </c>
    </row>
    <row r="3" spans="1:2">
      <c r="A3" t="s">
        <v>186</v>
      </c>
    </row>
    <row r="82" spans="1:1">
      <c r="A82" s="145"/>
    </row>
    <row r="83" spans="1:1">
      <c r="A83" s="145"/>
    </row>
    <row r="84" spans="1:1">
      <c r="A84" s="145"/>
    </row>
    <row r="85" spans="1:1">
      <c r="A85" s="145"/>
    </row>
    <row r="86" spans="1:1">
      <c r="A86" s="145"/>
    </row>
    <row r="87" spans="1:1">
      <c r="A87" s="145"/>
    </row>
    <row r="88" spans="1:1">
      <c r="A88" s="14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add088-552f-40fa-a2ba-d40311603a38">
      <Terms xmlns="http://schemas.microsoft.com/office/infopath/2007/PartnerControls"/>
    </lcf76f155ced4ddcb4097134ff3c332f>
    <TaxCatchAll xmlns="aac16700-e1bb-472d-9a32-8cb86eeb301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4416ECD8E0F84691243D255DC798C8" ma:contentTypeVersion="9" ma:contentTypeDescription="Create a new document." ma:contentTypeScope="" ma:versionID="f944fb6b75996a2e2c4c30cbd943b169">
  <xsd:schema xmlns:xsd="http://www.w3.org/2001/XMLSchema" xmlns:xs="http://www.w3.org/2001/XMLSchema" xmlns:p="http://schemas.microsoft.com/office/2006/metadata/properties" xmlns:ns2="0eadd088-552f-40fa-a2ba-d40311603a38" xmlns:ns3="aac16700-e1bb-472d-9a32-8cb86eeb3015" targetNamespace="http://schemas.microsoft.com/office/2006/metadata/properties" ma:root="true" ma:fieldsID="adf5157e0ac06adafc840a051588caae" ns2:_="" ns3:_="">
    <xsd:import namespace="0eadd088-552f-40fa-a2ba-d40311603a38"/>
    <xsd:import namespace="aac16700-e1bb-472d-9a32-8cb86eeb30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add088-552f-40fa-a2ba-d40311603a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d757968-b5e0-43bf-af52-13bc706514c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c16700-e1bb-472d-9a32-8cb86eeb301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b5ba398-f849-4527-a709-cf18564c6a46}" ma:internalName="TaxCatchAll" ma:showField="CatchAllData" ma:web="aac16700-e1bb-472d-9a32-8cb86eeb30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30A1EE-71F1-415C-99D0-EF985B1A5013}"/>
</file>

<file path=customXml/itemProps2.xml><?xml version="1.0" encoding="utf-8"?>
<ds:datastoreItem xmlns:ds="http://schemas.openxmlformats.org/officeDocument/2006/customXml" ds:itemID="{3E47EF1D-8960-438A-8083-E232A11352C0}"/>
</file>

<file path=customXml/itemProps3.xml><?xml version="1.0" encoding="utf-8"?>
<ds:datastoreItem xmlns:ds="http://schemas.openxmlformats.org/officeDocument/2006/customXml" ds:itemID="{2F125313-7EF1-45F6-B526-61D3D17E6E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Treadway, Joshua</dc:creator>
  <cp:keywords/>
  <dc:description/>
  <cp:lastModifiedBy>Reece Wilson</cp:lastModifiedBy>
  <cp:revision/>
  <dcterms:created xsi:type="dcterms:W3CDTF">2026-05-19T19:05:25Z</dcterms:created>
  <dcterms:modified xsi:type="dcterms:W3CDTF">2026-10-04T04:05:28Z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0x010100BE4416ECD8E0F84691243D255DC798C8</vt:lpwstr>
  </property>
  <property fmtid="{D5CDD505-2E9C-101B-9397-08002B2CF9AE}" pid="3" name="MediaServiceImageTags">
    <vt:lpwstr/>
  </property>
</Properties>
</file>